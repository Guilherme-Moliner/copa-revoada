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\Desktop\"/>
    </mc:Choice>
  </mc:AlternateContent>
  <xr:revisionPtr revIDLastSave="0" documentId="13_ncr:1_{5491D28E-B18F-49A2-A656-C9A442CA255B}" xr6:coauthVersionLast="47" xr6:coauthVersionMax="47" xr10:uidLastSave="{00000000-0000-0000-0000-000000000000}"/>
  <bookViews>
    <workbookView xWindow="-120" yWindow="-120" windowWidth="29040" windowHeight="15840" firstSheet="1" activeTab="1" xr2:uid="{5F24D7D5-F276-4F93-860B-AE3CD02107B2}"/>
  </bookViews>
  <sheets>
    <sheet name="Planilha1" sheetId="1" state="hidden" r:id="rId1"/>
    <sheet name="RANKING Atual" sheetId="3" r:id="rId2"/>
    <sheet name="Dados" sheetId="2" state="hidden" r:id="rId3"/>
    <sheet name="Planilha3" sheetId="5" state="hidden" r:id="rId4"/>
    <sheet name="Planilha2" sheetId="4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8" i="5" l="1"/>
  <c r="R29" i="5"/>
  <c r="R30" i="5"/>
  <c r="H33" i="5"/>
  <c r="H16" i="5"/>
  <c r="H17" i="5"/>
  <c r="H18" i="5"/>
  <c r="G16" i="5"/>
  <c r="G17" i="5"/>
  <c r="G18" i="5"/>
  <c r="G15" i="5"/>
  <c r="I18" i="5"/>
  <c r="I16" i="5"/>
  <c r="H31" i="5" s="1"/>
  <c r="I17" i="5"/>
  <c r="H32" i="5" s="1"/>
  <c r="R27" i="5"/>
  <c r="R26" i="5"/>
  <c r="R25" i="5"/>
  <c r="R24" i="5"/>
  <c r="R23" i="5"/>
  <c r="R22" i="5"/>
  <c r="F19" i="5"/>
  <c r="E19" i="5"/>
  <c r="D19" i="5"/>
  <c r="I15" i="5"/>
  <c r="H30" i="5" s="1"/>
  <c r="H15" i="5"/>
  <c r="I14" i="5"/>
  <c r="H29" i="5" s="1"/>
  <c r="H14" i="5"/>
  <c r="G14" i="5"/>
  <c r="I13" i="5"/>
  <c r="H28" i="5" s="1"/>
  <c r="H13" i="5"/>
  <c r="G13" i="5"/>
  <c r="I12" i="5"/>
  <c r="H27" i="5" s="1"/>
  <c r="H12" i="5"/>
  <c r="G12" i="5"/>
  <c r="I11" i="5"/>
  <c r="H26" i="5" s="1"/>
  <c r="H11" i="5"/>
  <c r="G11" i="5"/>
  <c r="I10" i="5"/>
  <c r="H25" i="5" s="1"/>
  <c r="H10" i="5"/>
  <c r="G10" i="5"/>
  <c r="I9" i="5"/>
  <c r="H24" i="5" s="1"/>
  <c r="H9" i="5"/>
  <c r="G9" i="5"/>
  <c r="I8" i="5"/>
  <c r="H23" i="5" s="1"/>
  <c r="H8" i="5"/>
  <c r="G8" i="5"/>
  <c r="I7" i="5"/>
  <c r="H7" i="5"/>
  <c r="G7" i="5"/>
  <c r="T33" i="3"/>
  <c r="T34" i="3"/>
  <c r="T35" i="3"/>
  <c r="AA32" i="4"/>
  <c r="T32" i="4"/>
  <c r="M32" i="4"/>
  <c r="F32" i="4"/>
  <c r="AA31" i="4"/>
  <c r="T31" i="4"/>
  <c r="M31" i="4"/>
  <c r="F31" i="4"/>
  <c r="AA30" i="4"/>
  <c r="T30" i="4"/>
  <c r="M30" i="4"/>
  <c r="F30" i="4"/>
  <c r="AA29" i="4"/>
  <c r="T29" i="4"/>
  <c r="M29" i="4"/>
  <c r="F29" i="4"/>
  <c r="AA28" i="4"/>
  <c r="T28" i="4"/>
  <c r="M28" i="4"/>
  <c r="F28" i="4"/>
  <c r="AA27" i="4"/>
  <c r="T27" i="4"/>
  <c r="M27" i="4"/>
  <c r="F27" i="4"/>
  <c r="AA26" i="4"/>
  <c r="T26" i="4"/>
  <c r="M26" i="4"/>
  <c r="F26" i="4"/>
  <c r="AA25" i="4"/>
  <c r="T25" i="4"/>
  <c r="M25" i="4"/>
  <c r="F25" i="4"/>
  <c r="AA24" i="4"/>
  <c r="T24" i="4"/>
  <c r="M24" i="4"/>
  <c r="F24" i="4"/>
  <c r="AA23" i="4"/>
  <c r="T23" i="4"/>
  <c r="M23" i="4"/>
  <c r="F23" i="4"/>
  <c r="AA22" i="4"/>
  <c r="T22" i="4"/>
  <c r="M22" i="4"/>
  <c r="F22" i="4"/>
  <c r="AA21" i="4"/>
  <c r="T21" i="4"/>
  <c r="M21" i="4"/>
  <c r="F21" i="4"/>
  <c r="AA20" i="4"/>
  <c r="T20" i="4"/>
  <c r="M20" i="4"/>
  <c r="F20" i="4"/>
  <c r="AA19" i="4"/>
  <c r="T19" i="4"/>
  <c r="M19" i="4"/>
  <c r="F19" i="4"/>
  <c r="AA15" i="4"/>
  <c r="T18" i="4"/>
  <c r="M18" i="4"/>
  <c r="F18" i="4"/>
  <c r="AA18" i="4"/>
  <c r="T17" i="4"/>
  <c r="M17" i="4"/>
  <c r="F17" i="4"/>
  <c r="AA17" i="4"/>
  <c r="T16" i="4"/>
  <c r="M16" i="4"/>
  <c r="F16" i="4"/>
  <c r="AA14" i="4"/>
  <c r="T15" i="4"/>
  <c r="M15" i="4"/>
  <c r="F15" i="4"/>
  <c r="AA13" i="4"/>
  <c r="T14" i="4"/>
  <c r="M14" i="4"/>
  <c r="F14" i="4"/>
  <c r="AA16" i="4"/>
  <c r="T13" i="4"/>
  <c r="M13" i="4"/>
  <c r="F13" i="4"/>
  <c r="AA12" i="4"/>
  <c r="T12" i="4"/>
  <c r="M12" i="4"/>
  <c r="F12" i="4"/>
  <c r="AA11" i="4"/>
  <c r="T11" i="4"/>
  <c r="M11" i="4"/>
  <c r="F11" i="4"/>
  <c r="AA10" i="4"/>
  <c r="T10" i="4"/>
  <c r="M10" i="4"/>
  <c r="F10" i="4"/>
  <c r="AA9" i="4"/>
  <c r="T9" i="4"/>
  <c r="M9" i="4"/>
  <c r="F9" i="4"/>
  <c r="AA6" i="4"/>
  <c r="T8" i="4"/>
  <c r="M8" i="4"/>
  <c r="F8" i="4"/>
  <c r="AA8" i="4"/>
  <c r="T7" i="4"/>
  <c r="M7" i="4"/>
  <c r="F7" i="4"/>
  <c r="AA7" i="4"/>
  <c r="T6" i="4"/>
  <c r="M6" i="4"/>
  <c r="F6" i="4"/>
  <c r="AA5" i="4"/>
  <c r="T5" i="4"/>
  <c r="M5" i="4"/>
  <c r="F5" i="4"/>
  <c r="AA4" i="4"/>
  <c r="T4" i="4"/>
  <c r="M4" i="4"/>
  <c r="F4" i="4"/>
  <c r="AA3" i="4"/>
  <c r="T3" i="4"/>
  <c r="M3" i="4"/>
  <c r="F3" i="4"/>
  <c r="S30" i="1"/>
  <c r="S29" i="1"/>
  <c r="H33" i="1"/>
  <c r="D18" i="1"/>
  <c r="E18" i="1"/>
  <c r="F18" i="1"/>
  <c r="I17" i="1"/>
  <c r="H17" i="1"/>
  <c r="G17" i="1"/>
  <c r="T28" i="3"/>
  <c r="T30" i="3"/>
  <c r="T29" i="3"/>
  <c r="T32" i="3"/>
  <c r="T31" i="3"/>
  <c r="T19" i="3"/>
  <c r="T17" i="3"/>
  <c r="T26" i="3"/>
  <c r="T25" i="3"/>
  <c r="T9" i="3"/>
  <c r="T24" i="3"/>
  <c r="T13" i="3"/>
  <c r="T27" i="3"/>
  <c r="T16" i="3"/>
  <c r="T8" i="3"/>
  <c r="T15" i="3"/>
  <c r="T18" i="3"/>
  <c r="T11" i="3"/>
  <c r="T23" i="3"/>
  <c r="T21" i="3"/>
  <c r="T22" i="3"/>
  <c r="T20" i="3"/>
  <c r="T7" i="3"/>
  <c r="T4" i="3"/>
  <c r="T12" i="3"/>
  <c r="T6" i="3"/>
  <c r="T14" i="3"/>
  <c r="T5" i="3"/>
  <c r="T3" i="3"/>
  <c r="T10" i="3"/>
  <c r="S28" i="1"/>
  <c r="G16" i="1"/>
  <c r="H16" i="1"/>
  <c r="I16" i="1"/>
  <c r="H32" i="1" s="1"/>
  <c r="AY31" i="2"/>
  <c r="AY23" i="2"/>
  <c r="AY30" i="2"/>
  <c r="AY29" i="2"/>
  <c r="AY28" i="2"/>
  <c r="AY13" i="2"/>
  <c r="AY22" i="2"/>
  <c r="AY27" i="2"/>
  <c r="AY36" i="2"/>
  <c r="AY18" i="2"/>
  <c r="AY21" i="2"/>
  <c r="AY17" i="2"/>
  <c r="AL23" i="2"/>
  <c r="AQ23" i="2"/>
  <c r="AL24" i="2"/>
  <c r="AQ24" i="2"/>
  <c r="AL27" i="2"/>
  <c r="AQ27" i="2"/>
  <c r="AL28" i="2"/>
  <c r="AQ28" i="2"/>
  <c r="AQ152" i="2"/>
  <c r="AQ89" i="2"/>
  <c r="AQ84" i="2"/>
  <c r="AQ74" i="2"/>
  <c r="AQ63" i="2"/>
  <c r="AQ60" i="2"/>
  <c r="AQ58" i="2"/>
  <c r="AQ38" i="2"/>
  <c r="AQ35" i="2"/>
  <c r="AQ33" i="2"/>
  <c r="AQ32" i="2"/>
  <c r="AQ31" i="2"/>
  <c r="AQ29" i="2"/>
  <c r="AQ26" i="2"/>
  <c r="AQ25" i="2"/>
  <c r="AQ22" i="2"/>
  <c r="AQ21" i="2"/>
  <c r="AQ20" i="2"/>
  <c r="AQ19" i="2"/>
  <c r="AQ18" i="2"/>
  <c r="AQ68" i="2"/>
  <c r="AQ7" i="2"/>
  <c r="AL166" i="2"/>
  <c r="AL167" i="2"/>
  <c r="AL168" i="2"/>
  <c r="AL169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65" i="2"/>
  <c r="AL137" i="2"/>
  <c r="AL121" i="2"/>
  <c r="AL105" i="2"/>
  <c r="AL89" i="2"/>
  <c r="AL78" i="2"/>
  <c r="AL76" i="2"/>
  <c r="AL73" i="2"/>
  <c r="AL60" i="2"/>
  <c r="AL58" i="2"/>
  <c r="AL37" i="2"/>
  <c r="AL26" i="2"/>
  <c r="AL19" i="2"/>
  <c r="AL18" i="2"/>
  <c r="AL17" i="2"/>
  <c r="AL14" i="2"/>
  <c r="AL10" i="2"/>
  <c r="AL8" i="2"/>
  <c r="AL9" i="2"/>
  <c r="AL11" i="2"/>
  <c r="AL12" i="2"/>
  <c r="AL13" i="2"/>
  <c r="AL15" i="2"/>
  <c r="AL16" i="2"/>
  <c r="AL20" i="2"/>
  <c r="AL22" i="2"/>
  <c r="AL25" i="2"/>
  <c r="AL29" i="2"/>
  <c r="AL30" i="2"/>
  <c r="AL31" i="2"/>
  <c r="AL32" i="2"/>
  <c r="AL33" i="2"/>
  <c r="AL34" i="2"/>
  <c r="AL35" i="2"/>
  <c r="AL36" i="2"/>
  <c r="AL38" i="2"/>
  <c r="AL57" i="2"/>
  <c r="AL63" i="2"/>
  <c r="AL64" i="2"/>
  <c r="AL65" i="2"/>
  <c r="AL66" i="2"/>
  <c r="AL67" i="2"/>
  <c r="AL68" i="2"/>
  <c r="AL69" i="2"/>
  <c r="AL70" i="2"/>
  <c r="AL71" i="2"/>
  <c r="AL72" i="2"/>
  <c r="AL74" i="2"/>
  <c r="AL75" i="2"/>
  <c r="AL77" i="2"/>
  <c r="AL79" i="2"/>
  <c r="AL80" i="2"/>
  <c r="AL81" i="2"/>
  <c r="AL82" i="2"/>
  <c r="AL83" i="2"/>
  <c r="AL84" i="2"/>
  <c r="AL85" i="2"/>
  <c r="AL86" i="2"/>
  <c r="AL87" i="2"/>
  <c r="AL88" i="2"/>
  <c r="AL90" i="2"/>
  <c r="AL91" i="2"/>
  <c r="AL92" i="2"/>
  <c r="AL94" i="2"/>
  <c r="AL95" i="2"/>
  <c r="AL96" i="2"/>
  <c r="AL97" i="2"/>
  <c r="AL98" i="2"/>
  <c r="AL99" i="2"/>
  <c r="AL100" i="2"/>
  <c r="AL101" i="2"/>
  <c r="AL102" i="2"/>
  <c r="AL103" i="2"/>
  <c r="AL104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4" i="2"/>
  <c r="AL155" i="2"/>
  <c r="AL156" i="2"/>
  <c r="AL157" i="2"/>
  <c r="AL158" i="2"/>
  <c r="AL159" i="2"/>
  <c r="AL160" i="2"/>
  <c r="AL161" i="2"/>
  <c r="AL162" i="2"/>
  <c r="AL163" i="2"/>
  <c r="AL164" i="2"/>
  <c r="AL7" i="2"/>
  <c r="AQ180" i="2"/>
  <c r="G19" i="5" l="1"/>
  <c r="H19" i="5"/>
  <c r="H22" i="5"/>
  <c r="I19" i="5"/>
  <c r="J19" i="5" s="1"/>
  <c r="AQ8" i="2"/>
  <c r="AQ9" i="2"/>
  <c r="AQ10" i="2"/>
  <c r="AQ11" i="2"/>
  <c r="AQ12" i="2"/>
  <c r="AQ13" i="2"/>
  <c r="AQ14" i="2"/>
  <c r="AQ15" i="2"/>
  <c r="AQ16" i="2"/>
  <c r="AQ148" i="2"/>
  <c r="AQ17" i="2"/>
  <c r="AQ164" i="2"/>
  <c r="AL170" i="2"/>
  <c r="AQ116" i="2"/>
  <c r="AQ100" i="2"/>
  <c r="AQ184" i="2"/>
  <c r="AQ168" i="2"/>
  <c r="AQ136" i="2"/>
  <c r="AQ120" i="2"/>
  <c r="AQ104" i="2"/>
  <c r="AQ88" i="2"/>
  <c r="AQ72" i="2"/>
  <c r="AQ36" i="2"/>
  <c r="AQ183" i="2"/>
  <c r="AQ167" i="2"/>
  <c r="AQ151" i="2"/>
  <c r="AQ135" i="2"/>
  <c r="AQ119" i="2"/>
  <c r="AQ103" i="2"/>
  <c r="AQ87" i="2"/>
  <c r="AQ71" i="2"/>
  <c r="AQ182" i="2"/>
  <c r="AQ166" i="2"/>
  <c r="AQ150" i="2"/>
  <c r="AQ134" i="2"/>
  <c r="AQ118" i="2"/>
  <c r="AQ102" i="2"/>
  <c r="AQ86" i="2"/>
  <c r="AQ70" i="2"/>
  <c r="AQ34" i="2"/>
  <c r="AQ181" i="2"/>
  <c r="AQ165" i="2"/>
  <c r="AQ149" i="2"/>
  <c r="AQ133" i="2"/>
  <c r="AQ117" i="2"/>
  <c r="AQ101" i="2"/>
  <c r="AQ85" i="2"/>
  <c r="AQ69" i="2"/>
  <c r="AQ132" i="2"/>
  <c r="AQ179" i="2"/>
  <c r="AQ163" i="2"/>
  <c r="AQ147" i="2"/>
  <c r="AQ131" i="2"/>
  <c r="AQ115" i="2"/>
  <c r="AQ99" i="2"/>
  <c r="AQ83" i="2"/>
  <c r="AQ67" i="2"/>
  <c r="AQ178" i="2"/>
  <c r="AQ162" i="2"/>
  <c r="AQ146" i="2"/>
  <c r="AQ130" i="2"/>
  <c r="AQ114" i="2"/>
  <c r="AQ98" i="2"/>
  <c r="AQ82" i="2"/>
  <c r="AQ66" i="2"/>
  <c r="AQ30" i="2"/>
  <c r="AQ177" i="2"/>
  <c r="AQ161" i="2"/>
  <c r="AQ145" i="2"/>
  <c r="AQ129" i="2"/>
  <c r="AQ113" i="2"/>
  <c r="AQ97" i="2"/>
  <c r="AQ81" i="2"/>
  <c r="AQ65" i="2"/>
  <c r="AQ176" i="2"/>
  <c r="AQ160" i="2"/>
  <c r="AQ144" i="2"/>
  <c r="AQ128" i="2"/>
  <c r="AQ112" i="2"/>
  <c r="AQ96" i="2"/>
  <c r="AQ80" i="2"/>
  <c r="AQ64" i="2"/>
  <c r="AL153" i="2"/>
  <c r="AL21" i="2"/>
  <c r="AQ159" i="2"/>
  <c r="AQ143" i="2"/>
  <c r="AQ127" i="2"/>
  <c r="AQ111" i="2"/>
  <c r="AQ95" i="2"/>
  <c r="AQ79" i="2"/>
  <c r="AQ174" i="2"/>
  <c r="AQ158" i="2"/>
  <c r="AQ142" i="2"/>
  <c r="AQ126" i="2"/>
  <c r="AQ110" i="2"/>
  <c r="AQ94" i="2"/>
  <c r="AQ78" i="2"/>
  <c r="AQ173" i="2"/>
  <c r="AQ157" i="2"/>
  <c r="AQ141" i="2"/>
  <c r="AQ125" i="2"/>
  <c r="AQ109" i="2"/>
  <c r="AQ77" i="2"/>
  <c r="AQ175" i="2"/>
  <c r="AQ172" i="2"/>
  <c r="AQ156" i="2"/>
  <c r="AQ140" i="2"/>
  <c r="AQ124" i="2"/>
  <c r="AQ108" i="2"/>
  <c r="AQ92" i="2"/>
  <c r="AQ76" i="2"/>
  <c r="AQ171" i="2"/>
  <c r="AQ155" i="2"/>
  <c r="AQ139" i="2"/>
  <c r="AQ123" i="2"/>
  <c r="AQ107" i="2"/>
  <c r="AQ91" i="2"/>
  <c r="AQ75" i="2"/>
  <c r="AQ57" i="2"/>
  <c r="AQ170" i="2"/>
  <c r="AQ154" i="2"/>
  <c r="AQ138" i="2"/>
  <c r="AQ122" i="2"/>
  <c r="AQ106" i="2"/>
  <c r="AQ90" i="2"/>
  <c r="AQ185" i="2"/>
  <c r="AQ169" i="2"/>
  <c r="AQ153" i="2"/>
  <c r="AQ137" i="2"/>
  <c r="AQ121" i="2"/>
  <c r="AQ105" i="2"/>
  <c r="AQ73" i="2"/>
  <c r="AQ37" i="2"/>
  <c r="E205" i="2" l="1"/>
  <c r="D226" i="2"/>
  <c r="E226" i="2"/>
  <c r="D225" i="2"/>
  <c r="E225" i="2"/>
  <c r="C226" i="2"/>
  <c r="C225" i="2"/>
  <c r="D224" i="2"/>
  <c r="E224" i="2"/>
  <c r="C224" i="2"/>
  <c r="D223" i="2"/>
  <c r="E223" i="2"/>
  <c r="C223" i="2"/>
  <c r="D222" i="2"/>
  <c r="E222" i="2"/>
  <c r="C222" i="2"/>
  <c r="D221" i="2"/>
  <c r="E221" i="2"/>
  <c r="C221" i="2"/>
  <c r="D220" i="2"/>
  <c r="E220" i="2"/>
  <c r="C220" i="2"/>
  <c r="D219" i="2"/>
  <c r="E219" i="2"/>
  <c r="C219" i="2"/>
  <c r="D218" i="2"/>
  <c r="E218" i="2"/>
  <c r="C218" i="2"/>
  <c r="D217" i="2"/>
  <c r="E217" i="2"/>
  <c r="C217" i="2"/>
  <c r="D216" i="2"/>
  <c r="E216" i="2"/>
  <c r="C216" i="2"/>
  <c r="D215" i="2"/>
  <c r="E215" i="2"/>
  <c r="C215" i="2"/>
  <c r="D214" i="2"/>
  <c r="E214" i="2"/>
  <c r="C214" i="2"/>
  <c r="D213" i="2"/>
  <c r="E213" i="2"/>
  <c r="C213" i="2"/>
  <c r="D212" i="2"/>
  <c r="E212" i="2"/>
  <c r="C212" i="2"/>
  <c r="D211" i="2"/>
  <c r="E211" i="2"/>
  <c r="C211" i="2"/>
  <c r="D210" i="2"/>
  <c r="E210" i="2"/>
  <c r="C210" i="2"/>
  <c r="D209" i="2"/>
  <c r="E209" i="2"/>
  <c r="C209" i="2"/>
  <c r="E208" i="2"/>
  <c r="D208" i="2"/>
  <c r="C208" i="2"/>
  <c r="D207" i="2"/>
  <c r="E207" i="2"/>
  <c r="C207" i="2"/>
  <c r="D202" i="2"/>
  <c r="E202" i="2"/>
  <c r="C202" i="2"/>
  <c r="E206" i="2"/>
  <c r="D206" i="2"/>
  <c r="C206" i="2"/>
  <c r="D205" i="2"/>
  <c r="C205" i="2"/>
  <c r="E204" i="2"/>
  <c r="D204" i="2"/>
  <c r="C204" i="2"/>
  <c r="D203" i="2"/>
  <c r="E203" i="2"/>
  <c r="C203" i="2"/>
  <c r="D201" i="2"/>
  <c r="E201" i="2"/>
  <c r="C201" i="2"/>
  <c r="E200" i="2"/>
  <c r="D200" i="2"/>
  <c r="C200" i="2"/>
  <c r="E199" i="2"/>
  <c r="D199" i="2"/>
  <c r="C199" i="2"/>
  <c r="C198" i="2"/>
  <c r="D198" i="2"/>
  <c r="E198" i="2"/>
  <c r="O35" i="2" l="1"/>
  <c r="J29" i="2"/>
  <c r="L29" i="2"/>
  <c r="K29" i="2"/>
  <c r="S27" i="1"/>
  <c r="S26" i="1"/>
  <c r="S25" i="1"/>
  <c r="S24" i="1"/>
  <c r="S23" i="1"/>
  <c r="S22" i="1"/>
  <c r="I15" i="1"/>
  <c r="H31" i="1" s="1"/>
  <c r="H15" i="1"/>
  <c r="G15" i="1"/>
  <c r="I14" i="1"/>
  <c r="H30" i="1" s="1"/>
  <c r="H14" i="1"/>
  <c r="G14" i="1"/>
  <c r="I13" i="1"/>
  <c r="H29" i="1" s="1"/>
  <c r="H13" i="1"/>
  <c r="G13" i="1"/>
  <c r="I12" i="1"/>
  <c r="H28" i="1" s="1"/>
  <c r="H12" i="1"/>
  <c r="G12" i="1"/>
  <c r="I11" i="1"/>
  <c r="H27" i="1" s="1"/>
  <c r="H11" i="1"/>
  <c r="G11" i="1"/>
  <c r="I10" i="1"/>
  <c r="H26" i="1" s="1"/>
  <c r="H10" i="1"/>
  <c r="G10" i="1"/>
  <c r="I9" i="1"/>
  <c r="H25" i="1" s="1"/>
  <c r="H9" i="1"/>
  <c r="G9" i="1"/>
  <c r="I8" i="1"/>
  <c r="H24" i="1" s="1"/>
  <c r="H8" i="1"/>
  <c r="G8" i="1"/>
  <c r="I7" i="1"/>
  <c r="H7" i="1"/>
  <c r="G7" i="1"/>
  <c r="H18" i="1" l="1"/>
  <c r="I18" i="1"/>
  <c r="J18" i="1" s="1"/>
  <c r="G18" i="1"/>
  <c r="T21" i="1"/>
  <c r="H23" i="1"/>
</calcChain>
</file>

<file path=xl/sharedStrings.xml><?xml version="1.0" encoding="utf-8"?>
<sst xmlns="http://schemas.openxmlformats.org/spreadsheetml/2006/main" count="1725" uniqueCount="245">
  <si>
    <t>FUTEBOL DA GALERA</t>
  </si>
  <si>
    <t>Mês</t>
  </si>
  <si>
    <t>Ano</t>
  </si>
  <si>
    <t>Jogos</t>
  </si>
  <si>
    <t>Gols</t>
  </si>
  <si>
    <t>Assistencias</t>
  </si>
  <si>
    <t>Media de Gols</t>
  </si>
  <si>
    <t>Media de Assistencias</t>
  </si>
  <si>
    <t>Gols e Assistencias</t>
  </si>
  <si>
    <t>Gols e Assit - jogo</t>
  </si>
  <si>
    <t>Estadio</t>
  </si>
  <si>
    <t xml:space="preserve">Dezembro </t>
  </si>
  <si>
    <t>Elase</t>
  </si>
  <si>
    <t>Julho</t>
  </si>
  <si>
    <t>Paula Ramos</t>
  </si>
  <si>
    <t xml:space="preserve">Abril </t>
  </si>
  <si>
    <t>Agosto - Zag</t>
  </si>
  <si>
    <t>Outubro - Zag</t>
  </si>
  <si>
    <t>Kretzer Indor</t>
  </si>
  <si>
    <t>Junho</t>
  </si>
  <si>
    <t>Outubro</t>
  </si>
  <si>
    <t>Total</t>
  </si>
  <si>
    <t>Times</t>
  </si>
  <si>
    <t>Placar</t>
  </si>
  <si>
    <t>Participacao nos gols</t>
  </si>
  <si>
    <t>chelsea</t>
  </si>
  <si>
    <t>psg</t>
  </si>
  <si>
    <t>liverpool</t>
  </si>
  <si>
    <t>borussia</t>
  </si>
  <si>
    <t>Boca</t>
  </si>
  <si>
    <t>City</t>
  </si>
  <si>
    <t>Branco</t>
  </si>
  <si>
    <t>Preto</t>
  </si>
  <si>
    <t>GOLS</t>
  </si>
  <si>
    <t>ASSIST</t>
  </si>
  <si>
    <t>LETTI</t>
  </si>
  <si>
    <t>JOGOS</t>
  </si>
  <si>
    <t>FANTA</t>
  </si>
  <si>
    <t>LEO</t>
  </si>
  <si>
    <t>LUIGHI</t>
  </si>
  <si>
    <t>GLAUBER</t>
  </si>
  <si>
    <t>VITAO</t>
  </si>
  <si>
    <t>MATHEUS</t>
  </si>
  <si>
    <t>GAROPA</t>
  </si>
  <si>
    <t>ENZO</t>
  </si>
  <si>
    <t>Vitor</t>
  </si>
  <si>
    <t>vitao</t>
  </si>
  <si>
    <t>bala</t>
  </si>
  <si>
    <t>leo</t>
  </si>
  <si>
    <t>letti</t>
  </si>
  <si>
    <t>vitor</t>
  </si>
  <si>
    <t>zaga</t>
  </si>
  <si>
    <t>glauber</t>
  </si>
  <si>
    <t>andre</t>
  </si>
  <si>
    <t>pietro</t>
  </si>
  <si>
    <t>nathan</t>
  </si>
  <si>
    <t>fanta</t>
  </si>
  <si>
    <t>garopa</t>
  </si>
  <si>
    <t>hanon</t>
  </si>
  <si>
    <t>TIME BRANCO</t>
  </si>
  <si>
    <t xml:space="preserve">⚪ Fanta  </t>
  </si>
  <si>
    <t xml:space="preserve">⚪ Kretzer </t>
  </si>
  <si>
    <t xml:space="preserve">⚪ Letti </t>
  </si>
  <si>
    <t>⚪ Glauber</t>
  </si>
  <si>
    <t xml:space="preserve">⚪ Léo Godinho </t>
  </si>
  <si>
    <t xml:space="preserve">⚪ Luigi </t>
  </si>
  <si>
    <t xml:space="preserve">⚪ André </t>
  </si>
  <si>
    <t>⚪ GK Arthur</t>
  </si>
  <si>
    <t>TIME PRETO</t>
  </si>
  <si>
    <t xml:space="preserve">⚫️ Leo Zanetti </t>
  </si>
  <si>
    <t xml:space="preserve">⚫️ Vitao   </t>
  </si>
  <si>
    <t xml:space="preserve">⚫️ Nathan  </t>
  </si>
  <si>
    <t xml:space="preserve">⚫️ Matheus  </t>
  </si>
  <si>
    <t>⚫️ Davi</t>
  </si>
  <si>
    <t>⚫️ Enzo</t>
  </si>
  <si>
    <t>⚫️ Garopa</t>
  </si>
  <si>
    <t>⚫️ GK Merizi</t>
  </si>
  <si>
    <t>TIME BRANCO CITY:</t>
  </si>
  <si>
    <t xml:space="preserve">⚪ GK Joao Marcos </t>
  </si>
  <si>
    <t>TIME AZUL BOCA:</t>
  </si>
  <si>
    <t>⚪ Bernado Correa✅💵</t>
  </si>
  <si>
    <t xml:space="preserve">TIME AZUL BOCA: </t>
  </si>
  <si>
    <t>🔵 Bernado Marucco ✅💵</t>
  </si>
  <si>
    <t xml:space="preserve">Time VERMELHO LIVERPOOL </t>
  </si>
  <si>
    <t>Time AMARELO BORUSSIA</t>
  </si>
  <si>
    <t>jogos</t>
  </si>
  <si>
    <t>gols</t>
  </si>
  <si>
    <t>assist</t>
  </si>
  <si>
    <t>Danilim</t>
  </si>
  <si>
    <t>Henrique</t>
  </si>
  <si>
    <t>Phelps</t>
  </si>
  <si>
    <t>Bala</t>
  </si>
  <si>
    <t>Hanon</t>
  </si>
  <si>
    <t>Pietro</t>
  </si>
  <si>
    <t>Borba</t>
  </si>
  <si>
    <t>Probst</t>
  </si>
  <si>
    <t>Fanta</t>
  </si>
  <si>
    <t>Kretzer</t>
  </si>
  <si>
    <t>Letti</t>
  </si>
  <si>
    <t>Glauber</t>
  </si>
  <si>
    <t>Luigi</t>
  </si>
  <si>
    <t>André</t>
  </si>
  <si>
    <t>Arthur</t>
  </si>
  <si>
    <t>Vitao</t>
  </si>
  <si>
    <t>Nathan</t>
  </si>
  <si>
    <t>Matheus</t>
  </si>
  <si>
    <t>Davi</t>
  </si>
  <si>
    <t>Enzo</t>
  </si>
  <si>
    <t>Merizi</t>
  </si>
  <si>
    <t>Leo</t>
  </si>
  <si>
    <t>GK Arthur</t>
  </si>
  <si>
    <t>Zaga</t>
  </si>
  <si>
    <t>Correa</t>
  </si>
  <si>
    <t>Marucco</t>
  </si>
  <si>
    <t>Joao</t>
  </si>
  <si>
    <t>Jogadores</t>
  </si>
  <si>
    <t>Assist</t>
  </si>
  <si>
    <t>Gordo</t>
  </si>
  <si>
    <t>Garopaba</t>
  </si>
  <si>
    <t>Dereck</t>
  </si>
  <si>
    <t>borba</t>
  </si>
  <si>
    <t>danilim</t>
  </si>
  <si>
    <t>andré</t>
  </si>
  <si>
    <t>derek</t>
  </si>
  <si>
    <t>Berna</t>
  </si>
  <si>
    <t xml:space="preserve">Kretzer </t>
  </si>
  <si>
    <t>garopaba</t>
  </si>
  <si>
    <t>phelps</t>
  </si>
  <si>
    <t>kretzer</t>
  </si>
  <si>
    <t>Leo Godinho</t>
  </si>
  <si>
    <t>matheus</t>
  </si>
  <si>
    <t>davi</t>
  </si>
  <si>
    <t>enzo</t>
  </si>
  <si>
    <t>merizi</t>
  </si>
  <si>
    <t>Produtividade</t>
  </si>
  <si>
    <t>RANKING JOGOS</t>
  </si>
  <si>
    <t>RANKING GOLS</t>
  </si>
  <si>
    <t>RANKING ASSIST</t>
  </si>
  <si>
    <t>RANKING PRODUTIVIDADE</t>
  </si>
  <si>
    <t>Merizi GK</t>
  </si>
  <si>
    <t>Joao GK</t>
  </si>
  <si>
    <t>Correa GK</t>
  </si>
  <si>
    <t>Marucco GK</t>
  </si>
  <si>
    <t xml:space="preserve">Arthur GK </t>
  </si>
  <si>
    <t>Garopa</t>
  </si>
  <si>
    <t>TITULOS</t>
  </si>
  <si>
    <t>TIME PSG</t>
  </si>
  <si>
    <t>Mito</t>
  </si>
  <si>
    <t>Felps</t>
  </si>
  <si>
    <t>Derek</t>
  </si>
  <si>
    <t>Vitim</t>
  </si>
  <si>
    <t>Mini derek</t>
  </si>
  <si>
    <t>Time BRANCO PSG</t>
  </si>
  <si>
    <t xml:space="preserve">Time Amarelo CHELSEA </t>
  </si>
  <si>
    <t>Mini Derek</t>
  </si>
  <si>
    <t>Andre</t>
  </si>
  <si>
    <t>Bernardo C</t>
  </si>
  <si>
    <t>Bernardo M</t>
  </si>
  <si>
    <t>Goleiro Murilo</t>
  </si>
  <si>
    <t>Dereka</t>
  </si>
  <si>
    <t>Igor</t>
  </si>
  <si>
    <t>Time Amarelo Chelsea</t>
  </si>
  <si>
    <t>Time CHELSEA</t>
  </si>
  <si>
    <t>KRETZER</t>
  </si>
  <si>
    <t>LEO GODINHO</t>
  </si>
  <si>
    <t>LUIGI</t>
  </si>
  <si>
    <t>ANDRÉ</t>
  </si>
  <si>
    <t>NATHAN</t>
  </si>
  <si>
    <t>DAVI</t>
  </si>
  <si>
    <t>DANILIM</t>
  </si>
  <si>
    <t>HENRIQUE</t>
  </si>
  <si>
    <t>PHELPS</t>
  </si>
  <si>
    <t>BALA</t>
  </si>
  <si>
    <t>HANON</t>
  </si>
  <si>
    <t>GORDO</t>
  </si>
  <si>
    <t>PIETRO</t>
  </si>
  <si>
    <t>BORBA</t>
  </si>
  <si>
    <t>DERECK</t>
  </si>
  <si>
    <t>PROBST</t>
  </si>
  <si>
    <t>ZAGA</t>
  </si>
  <si>
    <t>BERNA</t>
  </si>
  <si>
    <t xml:space="preserve">KRETZER </t>
  </si>
  <si>
    <t>DEREK</t>
  </si>
  <si>
    <t>DEREKA</t>
  </si>
  <si>
    <t>VITIM</t>
  </si>
  <si>
    <t>MINI DEREK</t>
  </si>
  <si>
    <t>GK ARTHUR</t>
  </si>
  <si>
    <t>MITO</t>
  </si>
  <si>
    <t>FELPS</t>
  </si>
  <si>
    <t>GK MERIZI</t>
  </si>
  <si>
    <t>GK JOAO</t>
  </si>
  <si>
    <t>GK CORREA</t>
  </si>
  <si>
    <t>GK MARUCCO</t>
  </si>
  <si>
    <t>RANKING TITULOS</t>
  </si>
  <si>
    <t>Milan be</t>
  </si>
  <si>
    <t>Jumentos</t>
  </si>
  <si>
    <t>Soma de Gols</t>
  </si>
  <si>
    <t>Gols por jogo</t>
  </si>
  <si>
    <t>Abril</t>
  </si>
  <si>
    <t>Jumentus</t>
  </si>
  <si>
    <t>Milan</t>
  </si>
  <si>
    <t>Bruno</t>
  </si>
  <si>
    <t>BRUNO</t>
  </si>
  <si>
    <t xml:space="preserve">Agosto </t>
  </si>
  <si>
    <t>Agosto</t>
  </si>
  <si>
    <t>Arthur gk</t>
  </si>
  <si>
    <t xml:space="preserve">Vitor </t>
  </si>
  <si>
    <t>VITOR</t>
  </si>
  <si>
    <t>Godinho ✅</t>
  </si>
  <si>
    <t>Bruno ✅</t>
  </si>
  <si>
    <t>Fanta ✅</t>
  </si>
  <si>
    <t>Hanon✅</t>
  </si>
  <si>
    <t>Glauber ✅</t>
  </si>
  <si>
    <t>Vitao ✅</t>
  </si>
  <si>
    <t>Enzo✅</t>
  </si>
  <si>
    <t>Sograo - empréstimo ✅</t>
  </si>
  <si>
    <t>Kretzer✅</t>
  </si>
  <si>
    <t>Probst ✅</t>
  </si>
  <si>
    <t>Nathan ✅</t>
  </si>
  <si>
    <t>Garopa ❌</t>
  </si>
  <si>
    <t>Zaga ✅</t>
  </si>
  <si>
    <t>Vicente ✅</t>
  </si>
  <si>
    <t>Léo Zanete ✅</t>
  </si>
  <si>
    <t>Letti ✅</t>
  </si>
  <si>
    <t>Time A: branco</t>
  </si>
  <si>
    <t>Time B: preto</t>
  </si>
  <si>
    <t>branco</t>
  </si>
  <si>
    <t>preto</t>
  </si>
  <si>
    <t>probst</t>
  </si>
  <si>
    <t>vicente</t>
  </si>
  <si>
    <t>bruno</t>
  </si>
  <si>
    <t>sograo</t>
  </si>
  <si>
    <t>Vicente</t>
  </si>
  <si>
    <t>VICENTE</t>
  </si>
  <si>
    <t>Sograo</t>
  </si>
  <si>
    <t>Leo Bittencourt</t>
  </si>
  <si>
    <t>media de gols</t>
  </si>
  <si>
    <t>2025</t>
  </si>
  <si>
    <t>1</t>
  </si>
  <si>
    <t>Dentro</t>
  </si>
  <si>
    <t>Ferroviagra</t>
  </si>
  <si>
    <t>Dentro FC</t>
  </si>
  <si>
    <t>Robson</t>
  </si>
  <si>
    <t>Pai Robson</t>
  </si>
  <si>
    <t>GAROPABA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</si>
</sst>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sz val="8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9" fontId="2" fillId="0" borderId="2" xfId="2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9" fontId="2" fillId="2" borderId="2" xfId="2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1" fontId="2" fillId="0" borderId="2" xfId="1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" fontId="2" fillId="0" borderId="3" xfId="1" applyNumberFormat="1" applyFont="1" applyBorder="1" applyAlignment="1">
      <alignment horizontal="center"/>
    </xf>
    <xf numFmtId="1" fontId="2" fillId="2" borderId="3" xfId="1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" fontId="2" fillId="2" borderId="2" xfId="1" applyNumberFormat="1" applyFont="1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2" fillId="5" borderId="0" xfId="0" applyFont="1" applyFill="1"/>
    <xf numFmtId="0" fontId="2" fillId="5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0" borderId="0" xfId="0" applyFont="1"/>
    <xf numFmtId="0" fontId="4" fillId="5" borderId="0" xfId="0" applyFont="1" applyFill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6" borderId="0" xfId="0" applyFont="1" applyFill="1"/>
    <xf numFmtId="0" fontId="3" fillId="6" borderId="9" xfId="0" applyFont="1" applyFill="1" applyBorder="1"/>
    <xf numFmtId="0" fontId="2" fillId="0" borderId="7" xfId="0" applyFont="1" applyBorder="1"/>
    <xf numFmtId="0" fontId="2" fillId="0" borderId="8" xfId="0" applyFont="1" applyBorder="1"/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3" borderId="0" xfId="0" applyFill="1"/>
    <xf numFmtId="0" fontId="0" fillId="7" borderId="0" xfId="0" applyFill="1"/>
    <xf numFmtId="0" fontId="2" fillId="7" borderId="2" xfId="0" applyFont="1" applyFill="1" applyBorder="1" applyAlignment="1">
      <alignment horizontal="center"/>
    </xf>
    <xf numFmtId="0" fontId="5" fillId="7" borderId="0" xfId="0" applyFont="1" applyFill="1"/>
    <xf numFmtId="0" fontId="6" fillId="7" borderId="0" xfId="0" applyFont="1" applyFill="1"/>
    <xf numFmtId="0" fontId="2" fillId="4" borderId="7" xfId="0" applyFont="1" applyFill="1" applyBorder="1"/>
    <xf numFmtId="0" fontId="2" fillId="4" borderId="7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9" fontId="2" fillId="2" borderId="10" xfId="2" applyFont="1" applyFill="1" applyBorder="1" applyAlignment="1">
      <alignment horizontal="center"/>
    </xf>
    <xf numFmtId="0" fontId="5" fillId="5" borderId="0" xfId="0" applyFont="1" applyFill="1"/>
    <xf numFmtId="0" fontId="2" fillId="5" borderId="0" xfId="0" applyFont="1" applyFill="1" applyAlignment="1">
      <alignment horizontal="center"/>
    </xf>
    <xf numFmtId="0" fontId="2" fillId="0" borderId="12" xfId="0" applyFont="1" applyBorder="1"/>
    <xf numFmtId="0" fontId="2" fillId="0" borderId="13" xfId="0" applyFont="1" applyBorder="1" applyAlignment="1">
      <alignment horizontal="center"/>
    </xf>
    <xf numFmtId="0" fontId="0" fillId="5" borderId="11" xfId="0" applyFill="1" applyBorder="1"/>
    <xf numFmtId="1" fontId="2" fillId="0" borderId="2" xfId="1" applyNumberFormat="1" applyFont="1" applyFill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2" fontId="2" fillId="0" borderId="15" xfId="0" applyNumberFormat="1" applyFont="1" applyBorder="1" applyAlignment="1">
      <alignment horizontal="center"/>
    </xf>
    <xf numFmtId="0" fontId="2" fillId="0" borderId="16" xfId="0" applyFont="1" applyBorder="1"/>
    <xf numFmtId="0" fontId="8" fillId="5" borderId="0" xfId="0" applyFont="1" applyFill="1"/>
    <xf numFmtId="0" fontId="9" fillId="5" borderId="0" xfId="0" applyFont="1" applyFill="1" applyAlignment="1">
      <alignment horizontal="center"/>
    </xf>
    <xf numFmtId="1" fontId="9" fillId="5" borderId="0" xfId="1" applyNumberFormat="1" applyFont="1" applyFill="1" applyBorder="1" applyAlignment="1">
      <alignment horizontal="center"/>
    </xf>
    <xf numFmtId="9" fontId="9" fillId="5" borderId="0" xfId="2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9" fontId="2" fillId="2" borderId="2" xfId="2" applyFont="1" applyFill="1" applyBorder="1" applyAlignment="1">
      <alignment horizontal="center"/>
    </xf>
    <xf numFmtId="9" fontId="2" fillId="0" borderId="2" xfId="2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9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 style="thin">
          <color theme="4"/>
        </bottom>
        <vertical/>
        <horizontal/>
      </border>
    </dxf>
    <dxf>
      <border outline="0">
        <left style="thin">
          <color theme="4"/>
        </left>
        <top style="thin">
          <color theme="4"/>
        </top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 style="thin">
          <color theme="1"/>
        </right>
        <top style="double">
          <color theme="1"/>
        </top>
        <bottom style="thin">
          <color theme="1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/>
        <top style="double">
          <color theme="1"/>
        </top>
        <bottom style="thin">
          <color theme="1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double">
          <color theme="1"/>
        </top>
        <bottom style="thin">
          <color theme="1"/>
        </bottom>
      </border>
    </dxf>
    <dxf>
      <font>
        <b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/>
        <right/>
        <top style="double">
          <color theme="1"/>
        </top>
        <bottom style="thin">
          <color theme="1"/>
        </bottom>
      </border>
    </dxf>
    <dxf>
      <font>
        <b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/>
        <right/>
        <top style="double">
          <color theme="1"/>
        </top>
        <bottom style="thin">
          <color theme="1"/>
        </bottom>
      </border>
    </dxf>
    <dxf>
      <font>
        <b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double">
          <color theme="1"/>
        </top>
        <bottom style="thin">
          <color theme="1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double">
          <color theme="1"/>
        </top>
        <bottom style="thin">
          <color theme="1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double">
          <color theme="1"/>
        </top>
        <bottom style="thin">
          <color theme="1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double">
          <color theme="1"/>
        </top>
        <bottom style="thin">
          <color theme="1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double">
          <color theme="1"/>
        </top>
        <bottom style="thin">
          <color theme="1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double">
          <color theme="1"/>
        </top>
      </border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bottom" textRotation="0" wrapText="0" indent="0" justifyLastLine="0" shrinkToFit="0" readingOrder="0"/>
    </dxf>
    <dxf>
      <font>
        <b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bottom" textRotation="0" wrapText="0" indent="0" justifyLastLine="0" shrinkToFit="0" readingOrder="0"/>
    </dxf>
    <dxf>
      <font>
        <b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 style="thin">
          <color theme="4"/>
        </bottom>
        <vertical/>
        <horizontal/>
      </border>
    </dxf>
    <dxf>
      <border outline="0">
        <left style="thin">
          <color theme="4"/>
        </left>
        <top style="thin">
          <color theme="4"/>
        </top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FBB7D8-B208-446A-BA88-2E5FCBDA0281}" name="Tabela248" displayName="Tabela248" ref="B6:K18" totalsRowCount="1" headerRowDxfId="73" dataDxfId="72" totalsRowDxfId="71">
  <autoFilter ref="B6:K17" xr:uid="{ABFBB7D8-B208-446A-BA88-2E5FCBDA0281}"/>
  <tableColumns count="10">
    <tableColumn id="1" xr3:uid="{3B7A8491-64E3-4013-A3B9-DA96CB4FF3C5}" name="Mês" totalsRowLabel="Total" dataDxfId="70" totalsRowDxfId="69"/>
    <tableColumn id="2" xr3:uid="{15EC255E-7857-47A6-8D99-D40F1A334395}" name="Ano" dataDxfId="68" totalsRowDxfId="67"/>
    <tableColumn id="3" xr3:uid="{57A8DBE1-F5E0-4929-8AAB-39262261CE83}" name="Jogos" totalsRowFunction="sum" dataDxfId="66" totalsRowDxfId="65"/>
    <tableColumn id="4" xr3:uid="{9994CB2D-63C1-4B3B-88D8-B51F22941A0F}" name="Gols" totalsRowFunction="sum" dataDxfId="64" totalsRowDxfId="63"/>
    <tableColumn id="5" xr3:uid="{064ED6C6-F36A-4766-BC27-F7156DF8EE53}" name="Assistencias" totalsRowFunction="sum" dataDxfId="62" totalsRowDxfId="61"/>
    <tableColumn id="6" xr3:uid="{B6F44245-36EA-4840-B253-CFA147218031}" name="Media de Gols" totalsRowFunction="average" dataDxfId="60" totalsRowDxfId="59">
      <calculatedColumnFormula>E7/D7</calculatedColumnFormula>
    </tableColumn>
    <tableColumn id="7" xr3:uid="{D10AE528-AAA7-4597-B07A-3B8865A8EE6D}" name="Media de Assistencias" totalsRowFunction="average" dataDxfId="58" totalsRowDxfId="57">
      <calculatedColumnFormula>F7/D7</calculatedColumnFormula>
    </tableColumn>
    <tableColumn id="8" xr3:uid="{57D13457-1010-46B9-BFD2-B1FD4A0300E5}" name="Gols e Assistencias" totalsRowFunction="sum" dataDxfId="56" totalsRowDxfId="55">
      <calculatedColumnFormula>SUM(E7,F7)</calculatedColumnFormula>
    </tableColumn>
    <tableColumn id="9" xr3:uid="{A9B94F6D-38CD-45B9-98BD-D4CBABD14F61}" name="Gols e Assit - jogo" totalsRowFunction="custom" dataDxfId="54" totalsRowDxfId="53">
      <totalsRowFormula>Tabela248[[#Totals],[Gols e Assistencias]]/Tabela248[[#Totals],[Jogos]]</totalsRowFormula>
    </tableColumn>
    <tableColumn id="10" xr3:uid="{7F46D479-032F-404F-B004-27132EC2DA9D}" name="Estadio" dataDxfId="52" totalsRowDxfId="5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B14B19-1542-4890-B019-3C8AA6DDD3AD}" name="Tabela3" displayName="Tabela3" ref="B2:C35" totalsRowShown="0" dataDxfId="94">
  <autoFilter ref="B2:C35" xr:uid="{EDB14B19-1542-4890-B019-3C8AA6DDD3AD}"/>
  <sortState xmlns:xlrd2="http://schemas.microsoft.com/office/spreadsheetml/2017/richdata2" ref="B3:C35">
    <sortCondition descending="1" ref="C2:C35"/>
  </sortState>
  <tableColumns count="2">
    <tableColumn id="1" xr3:uid="{62F1346E-5CA7-4B0F-9AF2-04E3E1787B08}" name="Jogadores" dataDxfId="93"/>
    <tableColumn id="2" xr3:uid="{1453D3A1-6BBA-42F7-B73B-D55CC261DE3E}" name="Jogos" dataDxfId="9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200410-3DBA-4529-B507-0D19840E4E69}" name="Tabela35" displayName="Tabela35" ref="F2:H35" totalsRowShown="0" dataDxfId="91">
  <autoFilter ref="F2:H35" xr:uid="{08200410-3DBA-4529-B507-0D19840E4E69}"/>
  <sortState xmlns:xlrd2="http://schemas.microsoft.com/office/spreadsheetml/2017/richdata2" ref="F3:H35">
    <sortCondition descending="1" ref="H2:H35"/>
  </sortState>
  <tableColumns count="3">
    <tableColumn id="1" xr3:uid="{A0D5A38E-F6AF-46F6-B73B-DA5238F4C5E2}" name="Jogadores" dataDxfId="90"/>
    <tableColumn id="2" xr3:uid="{98E6A9DF-FC55-4565-8C30-5DEF8508DC96}" name="Jogos" dataDxfId="89"/>
    <tableColumn id="3" xr3:uid="{A20A99A2-132F-44B2-B0D0-F1A018C468ED}" name="Gols" dataDxfId="88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F2F0D5-2F99-4F1A-A9FA-E06A3BE940B5}" name="Tabela36" displayName="Tabela36" ref="K2:M35" totalsRowShown="0" dataDxfId="87">
  <autoFilter ref="K2:M35" xr:uid="{8CF2F0D5-2F99-4F1A-A9FA-E06A3BE940B5}"/>
  <sortState xmlns:xlrd2="http://schemas.microsoft.com/office/spreadsheetml/2017/richdata2" ref="K3:M35">
    <sortCondition descending="1" ref="M2:M35"/>
  </sortState>
  <tableColumns count="3">
    <tableColumn id="1" xr3:uid="{44C92F67-D3BD-4B6B-8365-DF6D4CC00890}" name="Jogadores" dataDxfId="86"/>
    <tableColumn id="2" xr3:uid="{BA70B17D-4E92-4416-B9FF-B81606B5A64F}" name="Jogos" dataDxfId="85"/>
    <tableColumn id="4" xr3:uid="{3D02BDA1-0F12-4D97-9931-5EB8873CF97F}" name="Assist" dataDxfId="84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C03540A-C565-48A2-BF08-A46CD4C4C23B}" name="Tabela37" displayName="Tabela37" ref="P2:T35" totalsRowShown="0" dataDxfId="83">
  <autoFilter ref="P2:T35" xr:uid="{CC03540A-C565-48A2-BF08-A46CD4C4C23B}"/>
  <sortState xmlns:xlrd2="http://schemas.microsoft.com/office/spreadsheetml/2017/richdata2" ref="P3:T35">
    <sortCondition descending="1" ref="T2:T35"/>
  </sortState>
  <tableColumns count="5">
    <tableColumn id="1" xr3:uid="{C1152B9B-8FFC-4EFF-9643-6706FF6D1B02}" name="Jogadores" dataDxfId="82"/>
    <tableColumn id="2" xr3:uid="{111C991C-D493-4CC8-8A57-1A8252926938}" name="Jogos" dataDxfId="81"/>
    <tableColumn id="3" xr3:uid="{5EB950CC-A5B9-4292-BB9A-1D1E16384F34}" name="Gols" dataDxfId="80"/>
    <tableColumn id="4" xr3:uid="{E581A91E-5BBE-4D51-A55E-6035BF8E76E8}" name="Assist" dataDxfId="79"/>
    <tableColumn id="5" xr3:uid="{3DA594C8-E98C-4C4F-845C-9DA220746855}" name="Produtividade" dataDxfId="78">
      <calculatedColumnFormula>SUM(R3,S3)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144D389-2B8E-4757-9F2E-E2058CF425DF}" name="Tabela10" displayName="Tabela10" ref="W2:X36" totalsRowShown="0" headerRowDxfId="77" tableBorderDxfId="76">
  <autoFilter ref="W2:X36" xr:uid="{B144D389-2B8E-4757-9F2E-E2058CF425DF}"/>
  <sortState xmlns:xlrd2="http://schemas.microsoft.com/office/spreadsheetml/2017/richdata2" ref="W3:X36">
    <sortCondition descending="1" ref="X2:X36"/>
  </sortState>
  <tableColumns count="2">
    <tableColumn id="1" xr3:uid="{6BC3D56C-12F3-48EC-A7E7-1CA86A246AED}" name="Jogadores" dataDxfId="75"/>
    <tableColumn id="2" xr3:uid="{CF8A13F7-2406-4267-931E-CF6DE7467EA9}" name="TITULOS" dataDxfId="74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6D023CE-1011-41F0-B417-BD8CCA1D4FC8}" name="Tabela24813" displayName="Tabela24813" ref="B6:K19" totalsRowCount="1" headerRowDxfId="50" dataDxfId="49" totalsRowBorderDxfId="48">
  <autoFilter ref="B6:K18" xr:uid="{46D023CE-1011-41F0-B417-BD8CCA1D4FC8}"/>
  <tableColumns count="10">
    <tableColumn id="1" xr3:uid="{72D38C64-094A-46E0-AE1D-D98F7548D0CB}" name="Mês" totalsRowLabel="Total" dataDxfId="47" totalsRowDxfId="46"/>
    <tableColumn id="2" xr3:uid="{A003C73C-60C2-4BB3-B2FA-8CC8985F65F2}" name="Ano" dataDxfId="45" totalsRowDxfId="44"/>
    <tableColumn id="3" xr3:uid="{831824D3-868B-487E-87FE-3D58A3389987}" name="Jogos" totalsRowFunction="sum" dataDxfId="43" totalsRowDxfId="42"/>
    <tableColumn id="4" xr3:uid="{E6C0DC03-D564-46D1-A5D4-20D29F8AFC3C}" name="Gols" totalsRowFunction="sum" dataDxfId="41" totalsRowDxfId="40"/>
    <tableColumn id="5" xr3:uid="{0C188533-3F59-4D11-8494-FE74A7C00C50}" name="Assistencias" totalsRowFunction="sum" dataDxfId="39" totalsRowDxfId="38"/>
    <tableColumn id="6" xr3:uid="{F30F9B4D-0C52-4508-B075-5317ED2DC1CD}" name="Media de Gols" totalsRowFunction="average" dataDxfId="37" totalsRowDxfId="36">
      <calculatedColumnFormula>E7/D7</calculatedColumnFormula>
    </tableColumn>
    <tableColumn id="7" xr3:uid="{A27574AE-B82E-41C3-A893-149D7BE1A21F}" name="Media de Assistencias" totalsRowFunction="average" dataDxfId="35" totalsRowDxfId="34">
      <calculatedColumnFormula>F7/D7</calculatedColumnFormula>
    </tableColumn>
    <tableColumn id="8" xr3:uid="{C544F16F-8852-4C7E-BF6C-0B5FFC4F0367}" name="Gols e Assistencias" totalsRowFunction="sum" dataDxfId="33" totalsRowDxfId="32">
      <calculatedColumnFormula>SUM(E7,F7)</calculatedColumnFormula>
    </tableColumn>
    <tableColumn id="9" xr3:uid="{23C3F9A5-C47D-4112-BBB8-0D08F587A7BE}" name="Gols e Assit - jogo" totalsRowFunction="custom" dataDxfId="31" totalsRowDxfId="30">
      <totalsRowFormula>Tabela24813[[#Totals],[Gols e Assistencias]]/Tabela24813[[#Totals],[Jogos]]</totalsRowFormula>
    </tableColumn>
    <tableColumn id="10" xr3:uid="{40DEA33E-52DC-40EA-AAAB-5700C19793E7}" name="Estadio" dataDxfId="29" totalsRowDxfId="28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C9EDF3-F46C-4C03-993F-359ADA5DEF5E}" name="Tabela33" displayName="Tabela33" ref="B2:F32" totalsRowShown="0" dataDxfId="27">
  <autoFilter ref="B2:F32" xr:uid="{41C9EDF3-F46C-4C03-993F-359ADA5DEF5E}"/>
  <sortState xmlns:xlrd2="http://schemas.microsoft.com/office/spreadsheetml/2017/richdata2" ref="B3:F32">
    <sortCondition descending="1" ref="C2:C32"/>
  </sortState>
  <tableColumns count="5">
    <tableColumn id="1" xr3:uid="{5D212401-1166-408C-B1D7-5BE3BA957871}" name="Jogadores" dataDxfId="26"/>
    <tableColumn id="2" xr3:uid="{14BE67D4-3D0D-4589-B6C0-AB168721AD81}" name="Jogos" dataDxfId="25"/>
    <tableColumn id="3" xr3:uid="{1E934631-907F-4A60-AA2E-121810EF3117}" name="Gols" dataDxfId="24"/>
    <tableColumn id="4" xr3:uid="{0FE3659E-FA7B-4116-A5CC-9D6E1D5CAD54}" name="Assist" dataDxfId="23"/>
    <tableColumn id="5" xr3:uid="{70587D10-EE11-45EE-B8DF-1FDCD43181BF}" name="Produtividade" dataDxfId="22">
      <calculatedColumnFormula>SUM(D3,E3)</calculatedColumnFormula>
    </tableColumn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23AEE74-B80F-4038-B29F-76404B5D5785}" name="Tabela358" displayName="Tabela358" ref="I2:M32" totalsRowShown="0" dataDxfId="21">
  <autoFilter ref="I2:M32" xr:uid="{B23AEE74-B80F-4038-B29F-76404B5D5785}"/>
  <sortState xmlns:xlrd2="http://schemas.microsoft.com/office/spreadsheetml/2017/richdata2" ref="I3:M32">
    <sortCondition descending="1" ref="K2:K32"/>
  </sortState>
  <tableColumns count="5">
    <tableColumn id="1" xr3:uid="{C95F5F3B-5857-4EB9-92A0-F4EAEB072B4F}" name="Jogadores" dataDxfId="20"/>
    <tableColumn id="2" xr3:uid="{09122EC4-4185-44A2-8906-DCF0D866D732}" name="Jogos" dataDxfId="19"/>
    <tableColumn id="3" xr3:uid="{838C14FB-EDB9-4043-AD5B-13EB38A89551}" name="Gols" dataDxfId="18"/>
    <tableColumn id="4" xr3:uid="{97F1A57D-2BAA-42E3-A7CC-EDFF9CC33CDC}" name="Assist" dataDxfId="17"/>
    <tableColumn id="5" xr3:uid="{04BD0A2C-B25F-440C-B04D-299E07B71A62}" name="Produtividade" dataDxfId="16">
      <calculatedColumnFormula>SUM(K3,L3)</calculatedColumnFormula>
    </tableColumn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3AE1F15-4514-4D62-A784-5E192276634A}" name="Tabela369" displayName="Tabela369" ref="P2:T32" totalsRowShown="0" dataDxfId="15">
  <autoFilter ref="P2:T32" xr:uid="{83AE1F15-4514-4D62-A784-5E192276634A}"/>
  <sortState xmlns:xlrd2="http://schemas.microsoft.com/office/spreadsheetml/2017/richdata2" ref="P3:T32">
    <sortCondition descending="1" ref="S2:S32"/>
  </sortState>
  <tableColumns count="5">
    <tableColumn id="1" xr3:uid="{3D2C41CD-F448-4B01-A86F-5B6E6C065904}" name="Jogadores" dataDxfId="14"/>
    <tableColumn id="2" xr3:uid="{BB6A4534-5119-4C7A-8CB9-BD2591A9718D}" name="Jogos" dataDxfId="13"/>
    <tableColumn id="3" xr3:uid="{E7BA2F19-6E94-4CBE-9CD6-92444A6ADCBF}" name="Gols" dataDxfId="12"/>
    <tableColumn id="4" xr3:uid="{AD499D74-2329-46BE-9619-AE77BD31C0F7}" name="Assist" dataDxfId="11"/>
    <tableColumn id="5" xr3:uid="{62E2397C-FBFF-4F3D-B2B8-1AE2DA96CCAF}" name="Produtividade" dataDxfId="10">
      <calculatedColumnFormula>SUM(R3,S3)</calculatedColumnFormula>
    </tableColumn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D84FA73-FF4C-44E5-A672-9BD6292D2FA5}" name="Tabela3710" displayName="Tabela3710" ref="W2:AA32" totalsRowShown="0" dataDxfId="9">
  <autoFilter ref="W2:AA32" xr:uid="{BD84FA73-FF4C-44E5-A672-9BD6292D2FA5}"/>
  <sortState xmlns:xlrd2="http://schemas.microsoft.com/office/spreadsheetml/2017/richdata2" ref="W3:AA32">
    <sortCondition descending="1" ref="Y2:Y32"/>
  </sortState>
  <tableColumns count="5">
    <tableColumn id="1" xr3:uid="{7B33528B-6CC9-4D38-80ED-FB39B9C112F7}" name="Jogadores" dataDxfId="8"/>
    <tableColumn id="2" xr3:uid="{A362C0DC-887E-4117-A0D6-1D0ACB170B04}" name="Jogos" dataDxfId="7"/>
    <tableColumn id="3" xr3:uid="{C00E5873-D47F-471B-A561-4A41CE00DD00}" name="Gols" dataDxfId="6"/>
    <tableColumn id="4" xr3:uid="{5DA57557-B10E-4035-BAD2-4BAB8C09924A}" name="Assist" dataDxfId="5"/>
    <tableColumn id="5" xr3:uid="{AA9E0220-0B06-4046-A956-6D1EA8347ABB}" name="Produtividade" dataDxfId="4">
      <calculatedColumnFormula>SUM(Y3,Z3)</calculatedColumnFormula>
    </tableColumn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85AF7C1-C78A-47CC-BAC5-B01BD1E7A82E}" name="Tabela1012" displayName="Tabela1012" ref="AD2:AE33" totalsRowShown="0" headerRowDxfId="3" tableBorderDxfId="2">
  <autoFilter ref="AD2:AE33" xr:uid="{A85AF7C1-C78A-47CC-BAC5-B01BD1E7A82E}"/>
  <sortState xmlns:xlrd2="http://schemas.microsoft.com/office/spreadsheetml/2017/richdata2" ref="AD3:AE33">
    <sortCondition descending="1" ref="AE2:AE33"/>
  </sortState>
  <tableColumns count="2">
    <tableColumn id="1" xr3:uid="{7178D655-9A37-49B3-BBAC-D11D6AE94DF0}" name="Jogadores" dataDxfId="1"/>
    <tableColumn id="2" xr3:uid="{9B477A9A-68BC-4A5E-B155-79EFEF9FFEBB}" name="TITULO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B023-72A9-4135-96D0-EC6CE8BCED34}">
  <dimension ref="A5:T33"/>
  <sheetViews>
    <sheetView workbookViewId="0">
      <selection activeCell="H20" sqref="H20"/>
    </sheetView>
  </sheetViews>
  <sheetFormatPr defaultRowHeight="15" x14ac:dyDescent="0.25"/>
  <cols>
    <col min="2" max="2" width="14" customWidth="1"/>
    <col min="7" max="7" width="18.5703125" bestFit="1" customWidth="1"/>
    <col min="8" max="8" width="25.42578125" bestFit="1" customWidth="1"/>
    <col min="9" max="9" width="22.5703125" bestFit="1" customWidth="1"/>
    <col min="10" max="10" width="21.42578125" bestFit="1" customWidth="1"/>
    <col min="11" max="11" width="12.5703125" bestFit="1" customWidth="1"/>
    <col min="17" max="17" width="12.140625" bestFit="1" customWidth="1"/>
    <col min="18" max="19" width="13.42578125" bestFit="1" customWidth="1"/>
    <col min="20" max="20" width="12.5703125" bestFit="1" customWidth="1"/>
  </cols>
  <sheetData>
    <row r="5" spans="2:11" ht="15" customHeight="1" x14ac:dyDescent="0.25">
      <c r="B5" s="69" t="s">
        <v>0</v>
      </c>
      <c r="C5" s="69"/>
      <c r="D5" s="69"/>
      <c r="E5" s="69"/>
      <c r="F5" s="69"/>
      <c r="G5" s="69"/>
      <c r="H5" s="69"/>
      <c r="I5" s="69"/>
      <c r="J5" s="69"/>
      <c r="K5" s="69"/>
    </row>
    <row r="6" spans="2:11" x14ac:dyDescent="0.25"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2" t="s">
        <v>10</v>
      </c>
    </row>
    <row r="7" spans="2:11" x14ac:dyDescent="0.25">
      <c r="B7" s="1" t="s">
        <v>11</v>
      </c>
      <c r="C7" s="1">
        <v>2020</v>
      </c>
      <c r="D7" s="1">
        <v>1</v>
      </c>
      <c r="E7" s="1">
        <v>2</v>
      </c>
      <c r="F7" s="1">
        <v>1</v>
      </c>
      <c r="G7" s="1">
        <f t="shared" ref="G7:G15" si="0">E7/D7</f>
        <v>2</v>
      </c>
      <c r="H7" s="3">
        <f t="shared" ref="H7:H15" si="1">F7/D7</f>
        <v>1</v>
      </c>
      <c r="I7" s="1">
        <f t="shared" ref="I7:I15" si="2">SUM(E7,F7)</f>
        <v>3</v>
      </c>
      <c r="J7" s="1"/>
      <c r="K7" s="4" t="s">
        <v>12</v>
      </c>
    </row>
    <row r="8" spans="2:11" x14ac:dyDescent="0.25">
      <c r="B8" s="1" t="s">
        <v>13</v>
      </c>
      <c r="C8" s="1">
        <v>2021</v>
      </c>
      <c r="D8" s="1">
        <v>1</v>
      </c>
      <c r="E8" s="1">
        <v>2</v>
      </c>
      <c r="F8" s="1">
        <v>3</v>
      </c>
      <c r="G8" s="1">
        <f t="shared" si="0"/>
        <v>2</v>
      </c>
      <c r="H8" s="3">
        <f t="shared" si="1"/>
        <v>3</v>
      </c>
      <c r="I8" s="1">
        <f t="shared" si="2"/>
        <v>5</v>
      </c>
      <c r="J8" s="1"/>
      <c r="K8" s="4" t="s">
        <v>12</v>
      </c>
    </row>
    <row r="9" spans="2:11" x14ac:dyDescent="0.25">
      <c r="B9" s="1" t="s">
        <v>11</v>
      </c>
      <c r="C9" s="1">
        <v>2021</v>
      </c>
      <c r="D9" s="1">
        <v>1</v>
      </c>
      <c r="E9" s="1">
        <v>2</v>
      </c>
      <c r="F9" s="1">
        <v>1</v>
      </c>
      <c r="G9" s="1">
        <f t="shared" si="0"/>
        <v>2</v>
      </c>
      <c r="H9" s="3">
        <f t="shared" si="1"/>
        <v>1</v>
      </c>
      <c r="I9" s="1">
        <f t="shared" si="2"/>
        <v>3</v>
      </c>
      <c r="J9" s="1"/>
      <c r="K9" s="4" t="s">
        <v>14</v>
      </c>
    </row>
    <row r="10" spans="2:11" x14ac:dyDescent="0.25">
      <c r="B10" s="1" t="s">
        <v>15</v>
      </c>
      <c r="C10" s="1">
        <v>2022</v>
      </c>
      <c r="D10" s="1">
        <v>1</v>
      </c>
      <c r="E10" s="1">
        <v>1</v>
      </c>
      <c r="F10" s="1">
        <v>1</v>
      </c>
      <c r="G10" s="1">
        <f t="shared" si="0"/>
        <v>1</v>
      </c>
      <c r="H10" s="3">
        <f t="shared" si="1"/>
        <v>1</v>
      </c>
      <c r="I10" s="1">
        <f t="shared" si="2"/>
        <v>2</v>
      </c>
      <c r="J10" s="1"/>
      <c r="K10" s="4" t="s">
        <v>14</v>
      </c>
    </row>
    <row r="11" spans="2:11" x14ac:dyDescent="0.25">
      <c r="B11" s="1" t="s">
        <v>16</v>
      </c>
      <c r="C11" s="1">
        <v>2022</v>
      </c>
      <c r="D11" s="1">
        <v>1</v>
      </c>
      <c r="E11" s="1">
        <v>0</v>
      </c>
      <c r="F11" s="1">
        <v>1</v>
      </c>
      <c r="G11" s="1">
        <f t="shared" si="0"/>
        <v>0</v>
      </c>
      <c r="H11" s="3">
        <f t="shared" si="1"/>
        <v>1</v>
      </c>
      <c r="I11" s="1">
        <f t="shared" si="2"/>
        <v>1</v>
      </c>
      <c r="J11" s="1"/>
      <c r="K11" s="4" t="s">
        <v>14</v>
      </c>
    </row>
    <row r="12" spans="2:11" x14ac:dyDescent="0.25">
      <c r="B12" s="1" t="s">
        <v>17</v>
      </c>
      <c r="C12" s="1">
        <v>2022</v>
      </c>
      <c r="D12" s="1">
        <v>1</v>
      </c>
      <c r="E12" s="1">
        <v>0</v>
      </c>
      <c r="F12" s="1">
        <v>0</v>
      </c>
      <c r="G12" s="1">
        <f t="shared" si="0"/>
        <v>0</v>
      </c>
      <c r="H12" s="3">
        <f t="shared" si="1"/>
        <v>0</v>
      </c>
      <c r="I12" s="1">
        <f t="shared" si="2"/>
        <v>0</v>
      </c>
      <c r="J12" s="1"/>
      <c r="K12" s="4" t="s">
        <v>18</v>
      </c>
    </row>
    <row r="13" spans="2:11" x14ac:dyDescent="0.25">
      <c r="B13" s="1" t="s">
        <v>19</v>
      </c>
      <c r="C13" s="1">
        <v>2023</v>
      </c>
      <c r="D13" s="1">
        <v>1</v>
      </c>
      <c r="E13" s="1">
        <v>0</v>
      </c>
      <c r="F13" s="1">
        <v>0</v>
      </c>
      <c r="G13" s="1">
        <f t="shared" si="0"/>
        <v>0</v>
      </c>
      <c r="H13" s="3">
        <f t="shared" si="1"/>
        <v>0</v>
      </c>
      <c r="I13" s="1">
        <f t="shared" si="2"/>
        <v>0</v>
      </c>
      <c r="J13" s="1"/>
      <c r="K13" s="4" t="s">
        <v>14</v>
      </c>
    </row>
    <row r="14" spans="2:11" x14ac:dyDescent="0.25">
      <c r="B14" s="1" t="s">
        <v>20</v>
      </c>
      <c r="C14" s="1">
        <v>2023</v>
      </c>
      <c r="D14" s="1">
        <v>1</v>
      </c>
      <c r="E14" s="1">
        <v>1</v>
      </c>
      <c r="F14" s="1">
        <v>0</v>
      </c>
      <c r="G14" s="1">
        <f t="shared" si="0"/>
        <v>1</v>
      </c>
      <c r="H14" s="3">
        <f t="shared" si="1"/>
        <v>0</v>
      </c>
      <c r="I14" s="1">
        <f t="shared" si="2"/>
        <v>1</v>
      </c>
      <c r="J14" s="1"/>
      <c r="K14" s="4" t="s">
        <v>14</v>
      </c>
    </row>
    <row r="15" spans="2:11" x14ac:dyDescent="0.25">
      <c r="B15" s="5" t="s">
        <v>11</v>
      </c>
      <c r="C15" s="5">
        <v>2024</v>
      </c>
      <c r="D15" s="6">
        <v>1</v>
      </c>
      <c r="E15" s="6">
        <v>3</v>
      </c>
      <c r="F15" s="6">
        <v>0</v>
      </c>
      <c r="G15" s="6">
        <f t="shared" si="0"/>
        <v>3</v>
      </c>
      <c r="H15" s="7">
        <f t="shared" si="1"/>
        <v>0</v>
      </c>
      <c r="I15" s="6">
        <f t="shared" si="2"/>
        <v>3</v>
      </c>
      <c r="J15" s="6"/>
      <c r="K15" s="8" t="s">
        <v>14</v>
      </c>
    </row>
    <row r="16" spans="2:11" x14ac:dyDescent="0.25">
      <c r="B16" s="16" t="s">
        <v>15</v>
      </c>
      <c r="C16" s="5">
        <v>2025</v>
      </c>
      <c r="D16" s="6">
        <v>1</v>
      </c>
      <c r="E16" s="6">
        <v>1</v>
      </c>
      <c r="F16" s="6">
        <v>0</v>
      </c>
      <c r="G16" s="6">
        <f>E16/D16</f>
        <v>1</v>
      </c>
      <c r="H16" s="7">
        <f>F16/D16</f>
        <v>0</v>
      </c>
      <c r="I16" s="6">
        <f>SUM(E16,F16)</f>
        <v>1</v>
      </c>
      <c r="J16" s="6"/>
      <c r="K16" s="8" t="s">
        <v>14</v>
      </c>
    </row>
    <row r="17" spans="1:20" x14ac:dyDescent="0.25">
      <c r="B17" s="46" t="s">
        <v>204</v>
      </c>
      <c r="C17" s="47">
        <v>2025</v>
      </c>
      <c r="D17" s="6">
        <v>1</v>
      </c>
      <c r="E17" s="6">
        <v>1</v>
      </c>
      <c r="F17" s="6">
        <v>1</v>
      </c>
      <c r="G17" s="6">
        <f>E17/D17</f>
        <v>1</v>
      </c>
      <c r="H17" s="7">
        <f>F17/D17</f>
        <v>1</v>
      </c>
      <c r="I17" s="6">
        <f>SUM(E17,F17)</f>
        <v>2</v>
      </c>
      <c r="J17" s="6"/>
      <c r="K17" s="48" t="s">
        <v>14</v>
      </c>
    </row>
    <row r="18" spans="1:20" x14ac:dyDescent="0.25">
      <c r="B18" s="1" t="s">
        <v>21</v>
      </c>
      <c r="C18" s="1"/>
      <c r="D18" s="1">
        <f>SUBTOTAL(109,Tabela248[Jogos])</f>
        <v>11</v>
      </c>
      <c r="E18" s="1">
        <f>SUBTOTAL(109,Tabela248[Gols])</f>
        <v>13</v>
      </c>
      <c r="F18" s="1">
        <f>SUBTOTAL(109,Tabela248[Assistencias])</f>
        <v>8</v>
      </c>
      <c r="G18" s="37">
        <f>SUBTOTAL(101,Tabela248[Media de Gols])</f>
        <v>1.1818181818181819</v>
      </c>
      <c r="H18" s="37">
        <f>SUBTOTAL(101,Tabela248[Media de Assistencias])</f>
        <v>0.72727272727272729</v>
      </c>
      <c r="I18" s="1">
        <f>SUBTOTAL(109,Tabela248[Gols e Assistencias])</f>
        <v>21</v>
      </c>
      <c r="J18" s="38">
        <f>Tabela248[[#Totals],[Gols e Assistencias]]/Tabela248[[#Totals],[Jogos]]</f>
        <v>1.9090909090909092</v>
      </c>
      <c r="K18" s="9"/>
    </row>
    <row r="21" spans="1:20" x14ac:dyDescent="0.25">
      <c r="A21" s="17"/>
      <c r="L21" s="2" t="s">
        <v>2</v>
      </c>
      <c r="M21" s="2" t="s">
        <v>22</v>
      </c>
      <c r="N21" s="2" t="s">
        <v>23</v>
      </c>
      <c r="O21" s="2" t="s">
        <v>23</v>
      </c>
      <c r="P21" s="2" t="s">
        <v>22</v>
      </c>
      <c r="Q21" s="2" t="s">
        <v>10</v>
      </c>
      <c r="R21" s="30" t="s">
        <v>85</v>
      </c>
      <c r="S21" s="19" t="s">
        <v>196</v>
      </c>
      <c r="T21">
        <f>S30/R22</f>
        <v>5.875</v>
      </c>
    </row>
    <row r="22" spans="1:20" x14ac:dyDescent="0.25">
      <c r="A22" s="17"/>
      <c r="B22" s="10" t="s">
        <v>1</v>
      </c>
      <c r="C22" s="2" t="s">
        <v>2</v>
      </c>
      <c r="D22" s="2" t="s">
        <v>22</v>
      </c>
      <c r="E22" s="2" t="s">
        <v>23</v>
      </c>
      <c r="F22" s="2" t="s">
        <v>23</v>
      </c>
      <c r="G22" s="2" t="s">
        <v>22</v>
      </c>
      <c r="H22" s="2" t="s">
        <v>24</v>
      </c>
      <c r="I22" s="2" t="s">
        <v>10</v>
      </c>
      <c r="K22" s="10" t="s">
        <v>1</v>
      </c>
      <c r="L22" s="2">
        <v>2021</v>
      </c>
      <c r="M22" s="2" t="s">
        <v>25</v>
      </c>
      <c r="N22" s="2">
        <v>6</v>
      </c>
      <c r="O22" s="2">
        <v>9</v>
      </c>
      <c r="P22" s="2" t="s">
        <v>26</v>
      </c>
      <c r="Q22" s="4" t="s">
        <v>14</v>
      </c>
      <c r="R22">
        <v>8</v>
      </c>
      <c r="S22" s="19">
        <f t="shared" ref="S22:S29" si="3">SUM(N22:O22)</f>
        <v>15</v>
      </c>
      <c r="T22" t="s">
        <v>197</v>
      </c>
    </row>
    <row r="23" spans="1:20" x14ac:dyDescent="0.25">
      <c r="A23" s="17"/>
      <c r="B23" s="10" t="s">
        <v>11</v>
      </c>
      <c r="C23" s="2">
        <v>2020</v>
      </c>
      <c r="D23" s="2" t="s">
        <v>25</v>
      </c>
      <c r="E23" s="2">
        <v>6</v>
      </c>
      <c r="F23" s="2">
        <v>7</v>
      </c>
      <c r="G23" s="2" t="s">
        <v>26</v>
      </c>
      <c r="H23" s="4">
        <f t="shared" ref="H23:H28" si="4">I7/E23</f>
        <v>0.5</v>
      </c>
      <c r="I23" s="4" t="s">
        <v>12</v>
      </c>
      <c r="J23" s="18"/>
      <c r="K23" s="10" t="s">
        <v>11</v>
      </c>
      <c r="L23" s="2">
        <v>2022</v>
      </c>
      <c r="M23" s="2" t="s">
        <v>27</v>
      </c>
      <c r="N23" s="2">
        <v>4</v>
      </c>
      <c r="O23" s="2">
        <v>5</v>
      </c>
      <c r="P23" s="2" t="s">
        <v>28</v>
      </c>
      <c r="Q23" s="4" t="s">
        <v>14</v>
      </c>
      <c r="S23" s="19">
        <f t="shared" si="3"/>
        <v>9</v>
      </c>
    </row>
    <row r="24" spans="1:20" x14ac:dyDescent="0.25">
      <c r="A24" s="17"/>
      <c r="B24" s="10" t="s">
        <v>13</v>
      </c>
      <c r="C24" s="2">
        <v>2021</v>
      </c>
      <c r="D24" s="2" t="s">
        <v>25</v>
      </c>
      <c r="E24" s="2">
        <v>10</v>
      </c>
      <c r="F24" s="2">
        <v>10</v>
      </c>
      <c r="G24" s="2" t="s">
        <v>26</v>
      </c>
      <c r="H24" s="4">
        <f t="shared" si="4"/>
        <v>0.5</v>
      </c>
      <c r="I24" s="4" t="s">
        <v>12</v>
      </c>
      <c r="J24" s="18"/>
      <c r="K24" s="10" t="s">
        <v>15</v>
      </c>
      <c r="L24" s="2">
        <v>2022</v>
      </c>
      <c r="M24" s="2" t="s">
        <v>27</v>
      </c>
      <c r="N24" s="2">
        <v>1</v>
      </c>
      <c r="O24" s="11">
        <v>1</v>
      </c>
      <c r="P24" s="2" t="s">
        <v>28</v>
      </c>
      <c r="Q24" s="4" t="s">
        <v>14</v>
      </c>
      <c r="S24" s="19">
        <f t="shared" si="3"/>
        <v>2</v>
      </c>
    </row>
    <row r="25" spans="1:20" x14ac:dyDescent="0.25">
      <c r="A25" s="17"/>
      <c r="B25" s="10" t="s">
        <v>11</v>
      </c>
      <c r="C25" s="2">
        <v>2021</v>
      </c>
      <c r="D25" s="2" t="s">
        <v>25</v>
      </c>
      <c r="E25" s="2">
        <v>6</v>
      </c>
      <c r="F25" s="2">
        <v>9</v>
      </c>
      <c r="G25" s="2" t="s">
        <v>26</v>
      </c>
      <c r="H25" s="4">
        <f t="shared" si="4"/>
        <v>0.5</v>
      </c>
      <c r="I25" s="4" t="s">
        <v>14</v>
      </c>
      <c r="J25" s="18"/>
      <c r="K25" s="10" t="s">
        <v>16</v>
      </c>
      <c r="L25" s="12">
        <v>2023</v>
      </c>
      <c r="M25" s="12" t="s">
        <v>29</v>
      </c>
      <c r="N25" s="12">
        <v>0</v>
      </c>
      <c r="O25" s="13">
        <v>0</v>
      </c>
      <c r="P25" s="12" t="s">
        <v>30</v>
      </c>
      <c r="Q25" s="4" t="s">
        <v>14</v>
      </c>
      <c r="S25" s="19">
        <f t="shared" si="3"/>
        <v>0</v>
      </c>
    </row>
    <row r="26" spans="1:20" x14ac:dyDescent="0.25">
      <c r="A26" s="17"/>
      <c r="B26" s="10" t="s">
        <v>15</v>
      </c>
      <c r="C26" s="2">
        <v>2022</v>
      </c>
      <c r="D26" s="2" t="s">
        <v>27</v>
      </c>
      <c r="E26" s="2">
        <v>4</v>
      </c>
      <c r="F26" s="2">
        <v>5</v>
      </c>
      <c r="G26" s="2" t="s">
        <v>28</v>
      </c>
      <c r="H26" s="4">
        <f t="shared" si="4"/>
        <v>0.5</v>
      </c>
      <c r="I26" s="4" t="s">
        <v>14</v>
      </c>
      <c r="K26" s="12" t="s">
        <v>19</v>
      </c>
      <c r="L26" s="12">
        <v>2023</v>
      </c>
      <c r="M26" s="12" t="s">
        <v>29</v>
      </c>
      <c r="N26" s="12">
        <v>3</v>
      </c>
      <c r="O26" s="13">
        <v>2</v>
      </c>
      <c r="P26" s="12" t="s">
        <v>30</v>
      </c>
      <c r="Q26" s="4" t="s">
        <v>14</v>
      </c>
      <c r="S26" s="19">
        <f t="shared" si="3"/>
        <v>5</v>
      </c>
    </row>
    <row r="27" spans="1:20" x14ac:dyDescent="0.25">
      <c r="A27" s="17"/>
      <c r="B27" s="10" t="s">
        <v>16</v>
      </c>
      <c r="C27" s="2">
        <v>2022</v>
      </c>
      <c r="D27" s="2" t="s">
        <v>27</v>
      </c>
      <c r="E27" s="2">
        <v>1</v>
      </c>
      <c r="F27" s="11">
        <v>1</v>
      </c>
      <c r="G27" s="2" t="s">
        <v>28</v>
      </c>
      <c r="H27" s="4">
        <f t="shared" si="4"/>
        <v>1</v>
      </c>
      <c r="I27" s="4" t="s">
        <v>14</v>
      </c>
      <c r="K27" s="12" t="s">
        <v>20</v>
      </c>
      <c r="L27" s="5">
        <v>2024</v>
      </c>
      <c r="M27" s="5" t="s">
        <v>31</v>
      </c>
      <c r="N27" s="5">
        <v>5</v>
      </c>
      <c r="O27" s="14">
        <v>3</v>
      </c>
      <c r="P27" s="5" t="s">
        <v>32</v>
      </c>
      <c r="Q27" s="8" t="s">
        <v>14</v>
      </c>
      <c r="S27" s="19">
        <f t="shared" si="3"/>
        <v>8</v>
      </c>
    </row>
    <row r="28" spans="1:20" x14ac:dyDescent="0.25">
      <c r="A28" s="17"/>
      <c r="B28" s="10" t="s">
        <v>17</v>
      </c>
      <c r="C28" s="12">
        <v>2022</v>
      </c>
      <c r="D28" s="2" t="s">
        <v>27</v>
      </c>
      <c r="E28" s="12">
        <v>10</v>
      </c>
      <c r="F28" s="13">
        <v>3</v>
      </c>
      <c r="G28" s="2" t="s">
        <v>28</v>
      </c>
      <c r="H28" s="4">
        <f t="shared" si="4"/>
        <v>0</v>
      </c>
      <c r="I28" s="4" t="s">
        <v>18</v>
      </c>
      <c r="K28" s="16" t="s">
        <v>15</v>
      </c>
      <c r="L28" s="5">
        <v>2025</v>
      </c>
      <c r="M28" s="5" t="s">
        <v>194</v>
      </c>
      <c r="N28" s="5">
        <v>3</v>
      </c>
      <c r="O28" s="14">
        <v>0</v>
      </c>
      <c r="P28" s="5" t="s">
        <v>195</v>
      </c>
      <c r="Q28" s="8" t="s">
        <v>14</v>
      </c>
      <c r="S28" s="19">
        <f t="shared" si="3"/>
        <v>3</v>
      </c>
    </row>
    <row r="29" spans="1:20" x14ac:dyDescent="0.25">
      <c r="A29" s="17"/>
      <c r="B29" s="15" t="s">
        <v>19</v>
      </c>
      <c r="C29" s="12">
        <v>2023</v>
      </c>
      <c r="D29" s="12" t="s">
        <v>29</v>
      </c>
      <c r="E29" s="12">
        <v>0</v>
      </c>
      <c r="F29" s="13">
        <v>0</v>
      </c>
      <c r="G29" s="12" t="s">
        <v>30</v>
      </c>
      <c r="H29" s="4">
        <f>IFERROR(I13/E29,0)</f>
        <v>0</v>
      </c>
      <c r="I29" s="4" t="s">
        <v>14</v>
      </c>
      <c r="K29" s="16" t="s">
        <v>203</v>
      </c>
      <c r="L29" s="5">
        <v>2025</v>
      </c>
      <c r="M29" s="5" t="s">
        <v>194</v>
      </c>
      <c r="N29" s="5">
        <v>3</v>
      </c>
      <c r="O29" s="14">
        <v>2</v>
      </c>
      <c r="P29" s="5" t="s">
        <v>195</v>
      </c>
      <c r="Q29" s="8" t="s">
        <v>14</v>
      </c>
      <c r="S29" s="19">
        <f t="shared" si="3"/>
        <v>5</v>
      </c>
    </row>
    <row r="30" spans="1:20" x14ac:dyDescent="0.25">
      <c r="A30" s="17"/>
      <c r="B30" s="15" t="s">
        <v>20</v>
      </c>
      <c r="C30" s="12">
        <v>2023</v>
      </c>
      <c r="D30" s="12" t="s">
        <v>29</v>
      </c>
      <c r="E30" s="12">
        <v>3</v>
      </c>
      <c r="F30" s="13">
        <v>2</v>
      </c>
      <c r="G30" s="12" t="s">
        <v>30</v>
      </c>
      <c r="H30" s="4">
        <f>I14/E30</f>
        <v>0.33333333333333331</v>
      </c>
      <c r="I30" s="4" t="s">
        <v>14</v>
      </c>
      <c r="S30" s="19">
        <f>SUM(S22:S29)</f>
        <v>47</v>
      </c>
    </row>
    <row r="31" spans="1:20" x14ac:dyDescent="0.25">
      <c r="B31" s="16" t="s">
        <v>11</v>
      </c>
      <c r="C31" s="5">
        <v>2024</v>
      </c>
      <c r="D31" s="5" t="s">
        <v>31</v>
      </c>
      <c r="E31" s="5">
        <v>5</v>
      </c>
      <c r="F31" s="14">
        <v>3</v>
      </c>
      <c r="G31" s="5" t="s">
        <v>32</v>
      </c>
      <c r="H31" s="8">
        <f>I15/E31</f>
        <v>0.6</v>
      </c>
      <c r="I31" s="8" t="s">
        <v>14</v>
      </c>
    </row>
    <row r="32" spans="1:20" x14ac:dyDescent="0.25">
      <c r="B32" s="16" t="s">
        <v>15</v>
      </c>
      <c r="C32" s="5">
        <v>2025</v>
      </c>
      <c r="D32" s="5" t="s">
        <v>194</v>
      </c>
      <c r="E32" s="5">
        <v>3</v>
      </c>
      <c r="F32" s="14">
        <v>0</v>
      </c>
      <c r="G32" s="5" t="s">
        <v>195</v>
      </c>
      <c r="H32" s="8">
        <f>I16/E32</f>
        <v>0.33333333333333331</v>
      </c>
      <c r="I32" s="8" t="s">
        <v>14</v>
      </c>
    </row>
    <row r="33" spans="2:9" x14ac:dyDescent="0.25">
      <c r="B33" s="16" t="s">
        <v>203</v>
      </c>
      <c r="C33" s="5">
        <v>2025</v>
      </c>
      <c r="D33" s="5" t="s">
        <v>194</v>
      </c>
      <c r="E33" s="5">
        <v>3</v>
      </c>
      <c r="F33" s="14">
        <v>2</v>
      </c>
      <c r="G33" s="5" t="s">
        <v>195</v>
      </c>
      <c r="H33" s="8">
        <f>I17/E33</f>
        <v>0.66666666666666663</v>
      </c>
      <c r="I33" s="8" t="s">
        <v>14</v>
      </c>
    </row>
  </sheetData>
  <mergeCells count="1">
    <mergeCell ref="B5:K5"/>
  </mergeCells>
  <pageMargins left="0.511811024" right="0.511811024" top="0.78740157499999996" bottom="0.78740157499999996" header="0.31496062000000002" footer="0.31496062000000002"/>
  <ignoredErrors>
    <ignoredError sqref="H29" formula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8A82A-8F94-45AE-95B8-E3672F73FABB}">
  <dimension ref="A1:AQ75"/>
  <sheetViews>
    <sheetView tabSelected="1" zoomScale="85" zoomScaleNormal="85" workbookViewId="0">
      <selection activeCell="AB9" sqref="AB9"/>
    </sheetView>
  </sheetViews>
  <sheetFormatPr defaultRowHeight="15" x14ac:dyDescent="0.25"/>
  <cols>
    <col min="1" max="1" width="5" customWidth="1"/>
    <col min="2" max="2" width="16" bestFit="1" customWidth="1"/>
    <col min="3" max="3" width="8.42578125" bestFit="1" customWidth="1"/>
    <col min="4" max="4" width="5.7109375" customWidth="1"/>
    <col min="5" max="5" width="5" customWidth="1"/>
    <col min="6" max="6" width="12.140625" bestFit="1" customWidth="1"/>
    <col min="9" max="9" width="5.7109375" customWidth="1"/>
    <col min="10" max="10" width="5" customWidth="1"/>
    <col min="11" max="11" width="12.140625" bestFit="1" customWidth="1"/>
    <col min="14" max="14" width="5.7109375" customWidth="1"/>
    <col min="15" max="15" width="5" customWidth="1"/>
    <col min="16" max="16" width="12.140625" bestFit="1" customWidth="1"/>
    <col min="20" max="20" width="16" bestFit="1" customWidth="1"/>
    <col min="21" max="21" width="8.7109375" customWidth="1"/>
    <col min="22" max="22" width="3" bestFit="1" customWidth="1"/>
    <col min="23" max="23" width="13.5703125" bestFit="1" customWidth="1"/>
    <col min="24" max="24" width="10.42578125" customWidth="1"/>
    <col min="26" max="26" width="9.85546875" bestFit="1" customWidth="1"/>
    <col min="27" max="27" width="7.28515625" customWidth="1"/>
    <col min="28" max="28" width="12" customWidth="1"/>
    <col min="29" max="29" width="6.140625" bestFit="1" customWidth="1"/>
    <col min="30" max="30" width="13.7109375" bestFit="1" customWidth="1"/>
  </cols>
  <sheetData>
    <row r="1" spans="1:36" x14ac:dyDescent="0.25">
      <c r="A1" s="24"/>
      <c r="B1" s="66" t="s">
        <v>135</v>
      </c>
      <c r="C1" s="67"/>
      <c r="D1" s="25"/>
      <c r="E1" s="25"/>
      <c r="F1" s="68" t="s">
        <v>136</v>
      </c>
      <c r="G1" s="68"/>
      <c r="H1" s="68"/>
      <c r="I1" s="25"/>
      <c r="J1" s="25"/>
      <c r="K1" s="68" t="s">
        <v>137</v>
      </c>
      <c r="L1" s="68"/>
      <c r="M1" s="68"/>
      <c r="N1" s="25"/>
      <c r="O1" s="25"/>
      <c r="P1" s="68" t="s">
        <v>138</v>
      </c>
      <c r="Q1" s="68"/>
      <c r="R1" s="68"/>
      <c r="S1" s="68"/>
      <c r="T1" s="68"/>
      <c r="U1" s="24"/>
      <c r="V1" s="68" t="s">
        <v>193</v>
      </c>
      <c r="W1" s="68"/>
      <c r="X1" s="68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</row>
    <row r="2" spans="1:36" x14ac:dyDescent="0.25">
      <c r="A2" s="24"/>
      <c r="B2" t="s">
        <v>115</v>
      </c>
      <c r="C2" t="s">
        <v>3</v>
      </c>
      <c r="D2" s="24"/>
      <c r="E2" s="24"/>
      <c r="F2" t="s">
        <v>115</v>
      </c>
      <c r="G2" t="s">
        <v>3</v>
      </c>
      <c r="H2" t="s">
        <v>4</v>
      </c>
      <c r="I2" s="24"/>
      <c r="J2" s="24"/>
      <c r="K2" t="s">
        <v>115</v>
      </c>
      <c r="L2" t="s">
        <v>3</v>
      </c>
      <c r="M2" t="s">
        <v>116</v>
      </c>
      <c r="N2" s="24"/>
      <c r="O2" s="24"/>
      <c r="P2" t="s">
        <v>115</v>
      </c>
      <c r="Q2" t="s">
        <v>3</v>
      </c>
      <c r="R2" t="s">
        <v>4</v>
      </c>
      <c r="S2" t="s">
        <v>116</v>
      </c>
      <c r="T2" t="s">
        <v>134</v>
      </c>
      <c r="U2" s="24"/>
      <c r="V2" s="53"/>
      <c r="W2" s="33" t="s">
        <v>115</v>
      </c>
      <c r="X2" s="34" t="s">
        <v>145</v>
      </c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</row>
    <row r="3" spans="1:36" x14ac:dyDescent="0.25">
      <c r="A3" s="26">
        <v>1</v>
      </c>
      <c r="B3" s="9" t="s">
        <v>96</v>
      </c>
      <c r="C3" s="1">
        <v>10</v>
      </c>
      <c r="D3" s="25"/>
      <c r="E3" s="26">
        <v>1</v>
      </c>
      <c r="F3" s="9" t="s">
        <v>118</v>
      </c>
      <c r="G3" s="1">
        <v>9</v>
      </c>
      <c r="H3" s="1">
        <v>10</v>
      </c>
      <c r="I3" s="25"/>
      <c r="J3" s="26">
        <v>1</v>
      </c>
      <c r="K3" s="9" t="s">
        <v>103</v>
      </c>
      <c r="L3" s="1">
        <v>10</v>
      </c>
      <c r="M3" s="1">
        <v>6</v>
      </c>
      <c r="N3" s="25"/>
      <c r="O3" s="26">
        <v>1</v>
      </c>
      <c r="P3" s="9" t="s">
        <v>98</v>
      </c>
      <c r="Q3" s="1">
        <v>10</v>
      </c>
      <c r="R3" s="1">
        <v>8</v>
      </c>
      <c r="S3" s="1">
        <v>4</v>
      </c>
      <c r="T3" s="1">
        <f>SUM(R3,S3)</f>
        <v>12</v>
      </c>
      <c r="U3" s="24"/>
      <c r="V3" s="26">
        <v>1</v>
      </c>
      <c r="W3" s="35" t="s">
        <v>166</v>
      </c>
      <c r="X3" s="31">
        <v>7</v>
      </c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</row>
    <row r="4" spans="1:36" x14ac:dyDescent="0.25">
      <c r="A4" s="26">
        <v>2</v>
      </c>
      <c r="B4" s="9" t="s">
        <v>98</v>
      </c>
      <c r="C4" s="1">
        <v>10</v>
      </c>
      <c r="D4" s="25"/>
      <c r="E4" s="26">
        <v>2</v>
      </c>
      <c r="F4" s="9" t="s">
        <v>98</v>
      </c>
      <c r="G4" s="1">
        <v>10</v>
      </c>
      <c r="H4" s="1">
        <v>8</v>
      </c>
      <c r="I4" s="25"/>
      <c r="J4" s="26">
        <v>2</v>
      </c>
      <c r="K4" s="9" t="s">
        <v>98</v>
      </c>
      <c r="L4" s="1">
        <v>10</v>
      </c>
      <c r="M4" s="1">
        <v>4</v>
      </c>
      <c r="N4" s="25"/>
      <c r="O4" s="26">
        <v>2</v>
      </c>
      <c r="P4" s="9" t="s">
        <v>118</v>
      </c>
      <c r="Q4" s="1">
        <v>9</v>
      </c>
      <c r="R4" s="1">
        <v>10</v>
      </c>
      <c r="S4" s="1">
        <v>1</v>
      </c>
      <c r="T4" s="1">
        <f>SUM(R4,S4)</f>
        <v>11</v>
      </c>
      <c r="U4" s="24"/>
      <c r="V4" s="26">
        <v>2</v>
      </c>
      <c r="W4" s="35" t="s">
        <v>37</v>
      </c>
      <c r="X4" s="31">
        <v>7</v>
      </c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</row>
    <row r="5" spans="1:36" x14ac:dyDescent="0.25">
      <c r="A5" s="26">
        <v>3</v>
      </c>
      <c r="B5" s="9" t="s">
        <v>99</v>
      </c>
      <c r="C5" s="1">
        <v>10</v>
      </c>
      <c r="D5" s="25"/>
      <c r="E5" s="26">
        <v>3</v>
      </c>
      <c r="F5" s="9" t="s">
        <v>99</v>
      </c>
      <c r="G5" s="1">
        <v>10</v>
      </c>
      <c r="H5" s="1">
        <v>7</v>
      </c>
      <c r="I5" s="25"/>
      <c r="J5" s="26">
        <v>3</v>
      </c>
      <c r="K5" s="9" t="s">
        <v>99</v>
      </c>
      <c r="L5" s="1">
        <v>10</v>
      </c>
      <c r="M5" s="1">
        <v>4</v>
      </c>
      <c r="N5" s="25"/>
      <c r="O5" s="26">
        <v>3</v>
      </c>
      <c r="P5" s="9" t="s">
        <v>99</v>
      </c>
      <c r="Q5" s="1">
        <v>10</v>
      </c>
      <c r="R5" s="1">
        <v>7</v>
      </c>
      <c r="S5" s="1">
        <v>4</v>
      </c>
      <c r="T5" s="1">
        <f>SUM(R5,S5)</f>
        <v>11</v>
      </c>
      <c r="U5" s="24"/>
      <c r="V5" s="26">
        <v>3</v>
      </c>
      <c r="W5" s="35" t="s">
        <v>35</v>
      </c>
      <c r="X5" s="31">
        <v>7</v>
      </c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</row>
    <row r="6" spans="1:36" x14ac:dyDescent="0.25">
      <c r="A6" s="26">
        <v>4</v>
      </c>
      <c r="B6" s="9" t="s">
        <v>103</v>
      </c>
      <c r="C6" s="1">
        <v>10</v>
      </c>
      <c r="D6" s="25"/>
      <c r="E6" s="26">
        <v>4</v>
      </c>
      <c r="F6" s="9" t="s">
        <v>109</v>
      </c>
      <c r="G6" s="1">
        <v>8</v>
      </c>
      <c r="H6" s="1">
        <v>5</v>
      </c>
      <c r="I6" s="25"/>
      <c r="J6" s="26">
        <v>4</v>
      </c>
      <c r="K6" s="9" t="s">
        <v>111</v>
      </c>
      <c r="L6" s="1">
        <v>5</v>
      </c>
      <c r="M6" s="1">
        <v>4</v>
      </c>
      <c r="N6" s="25"/>
      <c r="O6" s="26">
        <v>4</v>
      </c>
      <c r="P6" s="9" t="s">
        <v>103</v>
      </c>
      <c r="Q6" s="1">
        <v>10</v>
      </c>
      <c r="R6" s="1">
        <v>5</v>
      </c>
      <c r="S6" s="1">
        <v>6</v>
      </c>
      <c r="T6" s="1">
        <f>SUM(R6,S6)</f>
        <v>11</v>
      </c>
      <c r="U6" s="24"/>
      <c r="V6" s="26">
        <v>4</v>
      </c>
      <c r="W6" s="35" t="s">
        <v>40</v>
      </c>
      <c r="X6" s="31">
        <v>6</v>
      </c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</row>
    <row r="7" spans="1:36" x14ac:dyDescent="0.25">
      <c r="A7" s="26">
        <v>5</v>
      </c>
      <c r="B7" s="9" t="s">
        <v>104</v>
      </c>
      <c r="C7" s="1">
        <v>10</v>
      </c>
      <c r="D7" s="25"/>
      <c r="E7" s="26">
        <v>5</v>
      </c>
      <c r="F7" s="9" t="s">
        <v>103</v>
      </c>
      <c r="G7" s="1">
        <v>10</v>
      </c>
      <c r="H7" s="1">
        <v>5</v>
      </c>
      <c r="I7" s="25"/>
      <c r="J7" s="26">
        <v>5</v>
      </c>
      <c r="K7" s="9" t="s">
        <v>206</v>
      </c>
      <c r="L7" s="1">
        <v>3</v>
      </c>
      <c r="M7" s="1">
        <v>2</v>
      </c>
      <c r="N7" s="25"/>
      <c r="O7" s="26">
        <v>5</v>
      </c>
      <c r="P7" s="9" t="s">
        <v>109</v>
      </c>
      <c r="Q7" s="1">
        <v>8</v>
      </c>
      <c r="R7" s="1">
        <v>5</v>
      </c>
      <c r="S7" s="1">
        <v>2</v>
      </c>
      <c r="T7" s="1">
        <f>SUM(R7,S7)</f>
        <v>7</v>
      </c>
      <c r="U7" s="24"/>
      <c r="V7" s="26">
        <v>5</v>
      </c>
      <c r="W7" s="35" t="s">
        <v>41</v>
      </c>
      <c r="X7" s="31">
        <v>5</v>
      </c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</row>
    <row r="8" spans="1:36" x14ac:dyDescent="0.25">
      <c r="A8" s="26">
        <v>6</v>
      </c>
      <c r="B8" s="9" t="s">
        <v>118</v>
      </c>
      <c r="C8" s="1">
        <v>9</v>
      </c>
      <c r="D8" s="25"/>
      <c r="E8" s="26">
        <v>6</v>
      </c>
      <c r="F8" s="9" t="s">
        <v>96</v>
      </c>
      <c r="G8" s="1">
        <v>10</v>
      </c>
      <c r="H8" s="1">
        <v>3</v>
      </c>
      <c r="I8" s="25"/>
      <c r="J8" s="26">
        <v>6</v>
      </c>
      <c r="K8" s="9" t="s">
        <v>107</v>
      </c>
      <c r="L8" s="1">
        <v>5</v>
      </c>
      <c r="M8" s="1">
        <v>2</v>
      </c>
      <c r="N8" s="25"/>
      <c r="O8" s="26">
        <v>6</v>
      </c>
      <c r="P8" s="9" t="s">
        <v>111</v>
      </c>
      <c r="Q8" s="1">
        <v>5</v>
      </c>
      <c r="R8" s="1">
        <v>3</v>
      </c>
      <c r="S8" s="1">
        <v>4</v>
      </c>
      <c r="T8" s="1">
        <f>SUM(R8,S8)</f>
        <v>7</v>
      </c>
      <c r="U8" s="24"/>
      <c r="V8" s="26">
        <v>6</v>
      </c>
      <c r="W8" s="35" t="s">
        <v>38</v>
      </c>
      <c r="X8" s="31">
        <v>5</v>
      </c>
      <c r="Y8" s="24"/>
      <c r="Z8" s="24"/>
      <c r="AA8" s="62" t="s">
        <v>204</v>
      </c>
      <c r="AB8" s="63">
        <v>2026</v>
      </c>
      <c r="AC8" s="63" t="s">
        <v>241</v>
      </c>
      <c r="AD8" s="63">
        <v>1</v>
      </c>
      <c r="AE8" s="64">
        <v>1</v>
      </c>
      <c r="AF8" s="63" t="s">
        <v>240</v>
      </c>
      <c r="AG8" s="65" t="s">
        <v>14</v>
      </c>
      <c r="AH8" s="65"/>
      <c r="AI8" s="24"/>
      <c r="AJ8" s="24"/>
    </row>
    <row r="9" spans="1:36" x14ac:dyDescent="0.25">
      <c r="A9" s="26">
        <v>7</v>
      </c>
      <c r="B9" s="9" t="s">
        <v>101</v>
      </c>
      <c r="C9" s="1">
        <v>8</v>
      </c>
      <c r="D9" s="25"/>
      <c r="E9" s="26">
        <v>7</v>
      </c>
      <c r="F9" s="9" t="s">
        <v>104</v>
      </c>
      <c r="G9" s="1">
        <v>10</v>
      </c>
      <c r="H9" s="1">
        <v>3</v>
      </c>
      <c r="I9" s="25"/>
      <c r="J9" s="26">
        <v>7</v>
      </c>
      <c r="K9" s="9" t="s">
        <v>109</v>
      </c>
      <c r="L9" s="1">
        <v>8</v>
      </c>
      <c r="M9" s="1">
        <v>2</v>
      </c>
      <c r="N9" s="25"/>
      <c r="O9" s="26">
        <v>7</v>
      </c>
      <c r="P9" s="9" t="s">
        <v>107</v>
      </c>
      <c r="Q9" s="1">
        <v>5</v>
      </c>
      <c r="R9" s="1">
        <v>3</v>
      </c>
      <c r="S9" s="1">
        <v>2</v>
      </c>
      <c r="T9" s="1">
        <f>SUM(R9,S9)</f>
        <v>5</v>
      </c>
      <c r="U9" s="24"/>
      <c r="V9" s="26">
        <v>7</v>
      </c>
      <c r="W9" s="35" t="s">
        <v>244</v>
      </c>
      <c r="X9" s="31">
        <v>5</v>
      </c>
      <c r="Y9" s="24"/>
      <c r="Z9" s="24"/>
      <c r="AA9" s="62"/>
      <c r="AB9" s="62" t="s">
        <v>115</v>
      </c>
      <c r="AC9" s="62" t="s">
        <v>85</v>
      </c>
      <c r="AD9" s="62" t="s">
        <v>86</v>
      </c>
      <c r="AE9" s="62" t="s">
        <v>87</v>
      </c>
      <c r="AF9" s="62" t="s">
        <v>145</v>
      </c>
      <c r="AG9" s="62"/>
      <c r="AH9" s="62"/>
      <c r="AI9" s="24"/>
      <c r="AJ9" s="24"/>
    </row>
    <row r="10" spans="1:36" x14ac:dyDescent="0.25">
      <c r="A10" s="26">
        <v>8</v>
      </c>
      <c r="B10" s="9" t="s">
        <v>109</v>
      </c>
      <c r="C10" s="1">
        <v>8</v>
      </c>
      <c r="D10" s="25"/>
      <c r="E10" s="26">
        <v>8</v>
      </c>
      <c r="F10" s="9" t="s">
        <v>107</v>
      </c>
      <c r="G10" s="1">
        <v>5</v>
      </c>
      <c r="H10" s="1">
        <v>3</v>
      </c>
      <c r="I10" s="25"/>
      <c r="J10" s="26">
        <v>8</v>
      </c>
      <c r="K10" s="9" t="s">
        <v>96</v>
      </c>
      <c r="L10" s="1">
        <v>10</v>
      </c>
      <c r="M10" s="1">
        <v>1</v>
      </c>
      <c r="N10" s="25"/>
      <c r="O10" s="26">
        <v>8</v>
      </c>
      <c r="P10" s="9" t="s">
        <v>96</v>
      </c>
      <c r="Q10" s="1">
        <v>10</v>
      </c>
      <c r="R10" s="1">
        <v>3</v>
      </c>
      <c r="S10" s="1">
        <v>1</v>
      </c>
      <c r="T10" s="1">
        <f>SUM(R10,S10)</f>
        <v>4</v>
      </c>
      <c r="U10" s="24"/>
      <c r="V10" s="26">
        <v>8</v>
      </c>
      <c r="W10" s="35" t="s">
        <v>176</v>
      </c>
      <c r="X10" s="31">
        <v>5</v>
      </c>
      <c r="Y10" s="24"/>
      <c r="Z10" s="24"/>
      <c r="AA10" s="62"/>
      <c r="AB10" s="62" t="s">
        <v>128</v>
      </c>
      <c r="AC10" s="62">
        <v>1</v>
      </c>
      <c r="AD10" s="62">
        <v>0</v>
      </c>
      <c r="AE10" s="62">
        <v>0</v>
      </c>
      <c r="AF10" s="62">
        <v>1</v>
      </c>
      <c r="AG10" s="62"/>
      <c r="AH10" s="62"/>
      <c r="AI10" s="24"/>
      <c r="AJ10" s="24"/>
    </row>
    <row r="11" spans="1:36" x14ac:dyDescent="0.25">
      <c r="A11" s="26">
        <v>9</v>
      </c>
      <c r="B11" s="9" t="s">
        <v>97</v>
      </c>
      <c r="C11" s="1">
        <v>8</v>
      </c>
      <c r="D11" s="25"/>
      <c r="E11" s="26">
        <v>9</v>
      </c>
      <c r="F11" s="9" t="s">
        <v>111</v>
      </c>
      <c r="G11" s="1">
        <v>5</v>
      </c>
      <c r="H11" s="1">
        <v>3</v>
      </c>
      <c r="I11" s="25"/>
      <c r="J11" s="26">
        <v>9</v>
      </c>
      <c r="K11" s="9" t="s">
        <v>101</v>
      </c>
      <c r="L11" s="1">
        <v>8</v>
      </c>
      <c r="M11" s="1">
        <v>1</v>
      </c>
      <c r="N11" s="25"/>
      <c r="O11" s="26">
        <v>9</v>
      </c>
      <c r="P11" s="9" t="s">
        <v>93</v>
      </c>
      <c r="Q11" s="1">
        <v>4</v>
      </c>
      <c r="R11" s="1">
        <v>2</v>
      </c>
      <c r="S11" s="1">
        <v>1</v>
      </c>
      <c r="T11" s="1">
        <f>SUM(R11,S11)</f>
        <v>3</v>
      </c>
      <c r="U11" s="24"/>
      <c r="V11" s="26">
        <v>9</v>
      </c>
      <c r="W11" s="35" t="s">
        <v>167</v>
      </c>
      <c r="X11" s="31">
        <v>5</v>
      </c>
      <c r="Y11" s="24"/>
      <c r="Z11" s="24"/>
      <c r="AA11" s="62"/>
      <c r="AB11" s="62" t="s">
        <v>228</v>
      </c>
      <c r="AC11" s="62">
        <v>0</v>
      </c>
      <c r="AD11" s="62">
        <v>0</v>
      </c>
      <c r="AE11" s="62">
        <v>0</v>
      </c>
      <c r="AF11" s="62">
        <v>0</v>
      </c>
      <c r="AG11" s="62"/>
      <c r="AH11" s="62"/>
      <c r="AI11" s="24"/>
      <c r="AJ11" s="24"/>
    </row>
    <row r="12" spans="1:36" x14ac:dyDescent="0.25">
      <c r="A12" s="26">
        <v>10</v>
      </c>
      <c r="B12" s="9" t="s">
        <v>94</v>
      </c>
      <c r="C12" s="1">
        <v>7</v>
      </c>
      <c r="D12" s="25"/>
      <c r="E12" s="26">
        <v>10</v>
      </c>
      <c r="F12" s="9" t="s">
        <v>93</v>
      </c>
      <c r="G12" s="1">
        <v>4</v>
      </c>
      <c r="H12" s="1">
        <v>2</v>
      </c>
      <c r="I12" s="25"/>
      <c r="J12" s="26">
        <v>10</v>
      </c>
      <c r="K12" s="9" t="s">
        <v>118</v>
      </c>
      <c r="L12" s="1">
        <v>9</v>
      </c>
      <c r="M12" s="1">
        <v>1</v>
      </c>
      <c r="N12" s="25"/>
      <c r="O12" s="26">
        <v>10</v>
      </c>
      <c r="P12" s="9" t="s">
        <v>104</v>
      </c>
      <c r="Q12" s="1">
        <v>10</v>
      </c>
      <c r="R12" s="1">
        <v>3</v>
      </c>
      <c r="S12" s="1">
        <v>0</v>
      </c>
      <c r="T12" s="1">
        <f>SUM(R12,S12)</f>
        <v>3</v>
      </c>
      <c r="U12" s="24"/>
      <c r="V12" s="26">
        <v>10</v>
      </c>
      <c r="W12" s="35" t="s">
        <v>173</v>
      </c>
      <c r="X12" s="31">
        <v>4</v>
      </c>
      <c r="Y12" s="24"/>
      <c r="Z12" s="24"/>
      <c r="AA12" s="62"/>
      <c r="AB12" s="62" t="s">
        <v>55</v>
      </c>
      <c r="AC12" s="62">
        <v>1</v>
      </c>
      <c r="AD12" s="62">
        <v>0</v>
      </c>
      <c r="AE12" s="62">
        <v>0</v>
      </c>
      <c r="AF12" s="62">
        <v>1</v>
      </c>
      <c r="AG12" s="62"/>
      <c r="AH12" s="62"/>
      <c r="AI12" s="24"/>
      <c r="AJ12" s="24"/>
    </row>
    <row r="13" spans="1:36" x14ac:dyDescent="0.25">
      <c r="A13" s="26">
        <v>11</v>
      </c>
      <c r="B13" s="9" t="s">
        <v>92</v>
      </c>
      <c r="C13" s="1">
        <v>7</v>
      </c>
      <c r="D13" s="25"/>
      <c r="E13" s="26">
        <v>11</v>
      </c>
      <c r="F13" s="9" t="s">
        <v>101</v>
      </c>
      <c r="G13" s="1">
        <v>8</v>
      </c>
      <c r="H13" s="1">
        <v>1</v>
      </c>
      <c r="I13" s="25"/>
      <c r="J13" s="26">
        <v>11</v>
      </c>
      <c r="K13" s="9" t="s">
        <v>92</v>
      </c>
      <c r="L13" s="1">
        <v>7</v>
      </c>
      <c r="M13" s="1">
        <v>1</v>
      </c>
      <c r="N13" s="25"/>
      <c r="O13" s="26">
        <v>11</v>
      </c>
      <c r="P13" s="9" t="s">
        <v>45</v>
      </c>
      <c r="Q13" s="1">
        <v>3</v>
      </c>
      <c r="R13" s="1">
        <v>0</v>
      </c>
      <c r="S13" s="1">
        <v>2</v>
      </c>
      <c r="T13" s="1">
        <f>SUM(R13,S13)</f>
        <v>2</v>
      </c>
      <c r="U13" s="24"/>
      <c r="V13" s="26">
        <v>11</v>
      </c>
      <c r="W13" s="35" t="s">
        <v>163</v>
      </c>
      <c r="X13" s="31">
        <v>4</v>
      </c>
      <c r="Y13" s="24"/>
      <c r="Z13" s="24"/>
      <c r="AA13" s="62"/>
      <c r="AB13" s="62" t="s">
        <v>51</v>
      </c>
      <c r="AC13" s="62">
        <v>1</v>
      </c>
      <c r="AD13" s="62">
        <v>1</v>
      </c>
      <c r="AE13" s="62">
        <v>1</v>
      </c>
      <c r="AF13" s="62">
        <v>1</v>
      </c>
      <c r="AG13" s="62"/>
      <c r="AH13" s="62"/>
      <c r="AI13" s="24"/>
      <c r="AJ13" s="24"/>
    </row>
    <row r="14" spans="1:36" x14ac:dyDescent="0.25">
      <c r="A14" s="26">
        <v>12</v>
      </c>
      <c r="B14" s="9" t="s">
        <v>143</v>
      </c>
      <c r="C14" s="1">
        <v>6</v>
      </c>
      <c r="D14" s="25"/>
      <c r="E14" s="26">
        <v>12</v>
      </c>
      <c r="F14" s="9" t="s">
        <v>91</v>
      </c>
      <c r="G14" s="1">
        <v>5</v>
      </c>
      <c r="H14" s="1">
        <v>1</v>
      </c>
      <c r="I14" s="25"/>
      <c r="J14" s="26">
        <v>12</v>
      </c>
      <c r="K14" s="9" t="s">
        <v>93</v>
      </c>
      <c r="L14" s="1">
        <v>4</v>
      </c>
      <c r="M14" s="1">
        <v>1</v>
      </c>
      <c r="N14" s="25"/>
      <c r="O14" s="26">
        <v>12</v>
      </c>
      <c r="P14" s="9" t="s">
        <v>101</v>
      </c>
      <c r="Q14" s="1">
        <v>8</v>
      </c>
      <c r="R14" s="1">
        <v>1</v>
      </c>
      <c r="S14" s="1">
        <v>1</v>
      </c>
      <c r="T14" s="1">
        <f>SUM(R14,S14)</f>
        <v>2</v>
      </c>
      <c r="U14" s="24"/>
      <c r="V14" s="26">
        <v>12</v>
      </c>
      <c r="W14" s="35" t="s">
        <v>169</v>
      </c>
      <c r="X14" s="31">
        <v>3</v>
      </c>
      <c r="Y14" s="24"/>
      <c r="Z14" s="24"/>
      <c r="AA14" s="62"/>
      <c r="AB14" s="62" t="s">
        <v>229</v>
      </c>
      <c r="AC14" s="62">
        <v>0</v>
      </c>
      <c r="AD14" s="62">
        <v>0</v>
      </c>
      <c r="AE14" s="62">
        <v>0</v>
      </c>
      <c r="AF14" s="62">
        <v>0</v>
      </c>
      <c r="AG14" s="62"/>
      <c r="AH14" s="62"/>
      <c r="AI14" s="24"/>
      <c r="AJ14" s="24"/>
    </row>
    <row r="15" spans="1:36" x14ac:dyDescent="0.25">
      <c r="A15" s="26">
        <v>13</v>
      </c>
      <c r="B15" s="9" t="s">
        <v>88</v>
      </c>
      <c r="C15" s="1">
        <v>5</v>
      </c>
      <c r="D15" s="25"/>
      <c r="E15" s="26">
        <v>13</v>
      </c>
      <c r="F15" s="9" t="s">
        <v>105</v>
      </c>
      <c r="G15" s="1">
        <v>1</v>
      </c>
      <c r="H15" s="1">
        <v>1</v>
      </c>
      <c r="I15" s="25"/>
      <c r="J15" s="26">
        <v>13</v>
      </c>
      <c r="K15" s="9" t="s">
        <v>143</v>
      </c>
      <c r="L15" s="1">
        <v>6</v>
      </c>
      <c r="M15" s="1">
        <v>1</v>
      </c>
      <c r="N15" s="25"/>
      <c r="O15" s="26">
        <v>13</v>
      </c>
      <c r="P15" s="9" t="s">
        <v>92</v>
      </c>
      <c r="Q15" s="1">
        <v>7</v>
      </c>
      <c r="R15" s="1">
        <v>0</v>
      </c>
      <c r="S15" s="1">
        <v>1</v>
      </c>
      <c r="T15" s="1">
        <f>SUM(R15,S15)</f>
        <v>1</v>
      </c>
      <c r="U15" s="24"/>
      <c r="V15" s="26">
        <v>13</v>
      </c>
      <c r="W15" s="35" t="s">
        <v>171</v>
      </c>
      <c r="X15" s="31">
        <v>3</v>
      </c>
      <c r="Y15" s="24"/>
      <c r="Z15" s="24"/>
      <c r="AA15" s="62"/>
      <c r="AB15" s="62" t="s">
        <v>48</v>
      </c>
      <c r="AC15" s="62">
        <v>1</v>
      </c>
      <c r="AD15" s="62">
        <v>1</v>
      </c>
      <c r="AE15" s="62">
        <v>0</v>
      </c>
      <c r="AF15" s="62">
        <v>1</v>
      </c>
      <c r="AG15" s="62"/>
      <c r="AH15" s="62"/>
      <c r="AI15" s="24"/>
      <c r="AJ15" s="24"/>
    </row>
    <row r="16" spans="1:36" x14ac:dyDescent="0.25">
      <c r="A16" s="26">
        <v>14</v>
      </c>
      <c r="B16" s="9" t="s">
        <v>91</v>
      </c>
      <c r="C16" s="1">
        <v>5</v>
      </c>
      <c r="D16" s="25"/>
      <c r="E16" s="26">
        <v>14</v>
      </c>
      <c r="F16" s="9" t="s">
        <v>97</v>
      </c>
      <c r="G16" s="1">
        <v>8</v>
      </c>
      <c r="H16" s="1">
        <v>0</v>
      </c>
      <c r="I16" s="25"/>
      <c r="J16" s="26">
        <v>14</v>
      </c>
      <c r="K16" s="9" t="s">
        <v>100</v>
      </c>
      <c r="L16" s="1">
        <v>1</v>
      </c>
      <c r="M16" s="1">
        <v>1</v>
      </c>
      <c r="N16" s="25"/>
      <c r="O16" s="26">
        <v>14</v>
      </c>
      <c r="P16" s="9" t="s">
        <v>143</v>
      </c>
      <c r="Q16" s="1">
        <v>6</v>
      </c>
      <c r="R16" s="1">
        <v>0</v>
      </c>
      <c r="S16" s="1">
        <v>1</v>
      </c>
      <c r="T16" s="1">
        <f>SUM(R16,S16)</f>
        <v>1</v>
      </c>
      <c r="U16" s="24"/>
      <c r="V16" s="26">
        <v>14</v>
      </c>
      <c r="W16" s="35" t="s">
        <v>178</v>
      </c>
      <c r="X16" s="31">
        <v>3</v>
      </c>
      <c r="Y16" s="24"/>
      <c r="Z16" s="24"/>
      <c r="AA16" s="62"/>
      <c r="AB16" s="62" t="s">
        <v>49</v>
      </c>
      <c r="AC16" s="62">
        <v>1</v>
      </c>
      <c r="AD16" s="62">
        <v>0</v>
      </c>
      <c r="AE16" s="62">
        <v>1</v>
      </c>
      <c r="AF16" s="62">
        <v>1</v>
      </c>
      <c r="AG16" s="62"/>
      <c r="AH16" s="62"/>
      <c r="AI16" s="24"/>
      <c r="AJ16" s="24"/>
    </row>
    <row r="17" spans="1:36" x14ac:dyDescent="0.25">
      <c r="A17" s="26">
        <v>15</v>
      </c>
      <c r="B17" s="9" t="s">
        <v>111</v>
      </c>
      <c r="C17" s="1">
        <v>5</v>
      </c>
      <c r="D17" s="25"/>
      <c r="E17" s="26">
        <v>15</v>
      </c>
      <c r="F17" s="9" t="s">
        <v>94</v>
      </c>
      <c r="G17" s="1">
        <v>7</v>
      </c>
      <c r="H17" s="1">
        <v>0</v>
      </c>
      <c r="I17" s="25"/>
      <c r="J17" s="26">
        <v>15</v>
      </c>
      <c r="K17" s="9" t="s">
        <v>104</v>
      </c>
      <c r="L17" s="1">
        <v>10</v>
      </c>
      <c r="M17" s="1">
        <v>0</v>
      </c>
      <c r="N17" s="25"/>
      <c r="O17" s="26">
        <v>15</v>
      </c>
      <c r="P17" s="9" t="s">
        <v>100</v>
      </c>
      <c r="Q17" s="1">
        <v>1</v>
      </c>
      <c r="R17" s="1">
        <v>0</v>
      </c>
      <c r="S17" s="1">
        <v>1</v>
      </c>
      <c r="T17" s="1">
        <f>SUM(R17,S17)</f>
        <v>1</v>
      </c>
      <c r="U17" s="24"/>
      <c r="V17" s="26">
        <v>15</v>
      </c>
      <c r="W17" s="35" t="s">
        <v>44</v>
      </c>
      <c r="X17" s="31">
        <v>3</v>
      </c>
      <c r="Y17" s="24"/>
      <c r="Z17" s="24"/>
      <c r="AA17" s="62"/>
      <c r="AB17" s="62" t="s">
        <v>94</v>
      </c>
      <c r="AC17" s="62">
        <v>1</v>
      </c>
      <c r="AD17" s="62">
        <v>0</v>
      </c>
      <c r="AE17" s="62">
        <v>0</v>
      </c>
      <c r="AF17" s="62">
        <v>1</v>
      </c>
      <c r="AG17" s="62"/>
      <c r="AH17" s="62"/>
      <c r="AI17" s="24"/>
      <c r="AJ17" s="24"/>
    </row>
    <row r="18" spans="1:36" x14ac:dyDescent="0.25">
      <c r="A18" s="26">
        <v>16</v>
      </c>
      <c r="B18" s="9" t="s">
        <v>107</v>
      </c>
      <c r="C18" s="1">
        <v>5</v>
      </c>
      <c r="D18" s="25"/>
      <c r="E18" s="26">
        <v>16</v>
      </c>
      <c r="F18" s="9" t="s">
        <v>88</v>
      </c>
      <c r="G18" s="1">
        <v>5</v>
      </c>
      <c r="H18" s="1">
        <v>0</v>
      </c>
      <c r="I18" s="25"/>
      <c r="J18" s="26">
        <v>16</v>
      </c>
      <c r="K18" s="9" t="s">
        <v>97</v>
      </c>
      <c r="L18" s="1">
        <v>8</v>
      </c>
      <c r="M18" s="1">
        <v>0</v>
      </c>
      <c r="N18" s="25"/>
      <c r="O18" s="26">
        <v>16</v>
      </c>
      <c r="P18" s="9" t="s">
        <v>91</v>
      </c>
      <c r="Q18" s="1">
        <v>5</v>
      </c>
      <c r="R18" s="1">
        <v>1</v>
      </c>
      <c r="S18" s="1">
        <v>0</v>
      </c>
      <c r="T18" s="1">
        <f>SUM(R18,S18)</f>
        <v>1</v>
      </c>
      <c r="U18" s="24"/>
      <c r="V18" s="26">
        <v>16</v>
      </c>
      <c r="W18" s="35" t="s">
        <v>189</v>
      </c>
      <c r="X18" s="31">
        <v>3</v>
      </c>
      <c r="Y18" s="24"/>
      <c r="Z18" s="24"/>
      <c r="AA18" s="62"/>
      <c r="AB18" s="62" t="s">
        <v>144</v>
      </c>
      <c r="AC18" s="62">
        <v>1</v>
      </c>
      <c r="AD18" s="62">
        <v>0</v>
      </c>
      <c r="AE18" s="62">
        <v>0</v>
      </c>
      <c r="AF18" s="62">
        <v>1</v>
      </c>
      <c r="AG18" s="62"/>
      <c r="AH18" s="62"/>
      <c r="AI18" s="24"/>
      <c r="AJ18" s="24"/>
    </row>
    <row r="19" spans="1:36" x14ac:dyDescent="0.25">
      <c r="A19" s="26">
        <v>17</v>
      </c>
      <c r="B19" s="9" t="s">
        <v>139</v>
      </c>
      <c r="C19" s="1">
        <v>5</v>
      </c>
      <c r="D19" s="25"/>
      <c r="E19" s="26">
        <v>17</v>
      </c>
      <c r="F19" s="9" t="s">
        <v>92</v>
      </c>
      <c r="G19" s="1">
        <v>7</v>
      </c>
      <c r="H19" s="1">
        <v>0</v>
      </c>
      <c r="I19" s="25"/>
      <c r="J19" s="26">
        <v>17</v>
      </c>
      <c r="K19" s="9" t="s">
        <v>94</v>
      </c>
      <c r="L19" s="1">
        <v>7</v>
      </c>
      <c r="M19" s="1">
        <v>0</v>
      </c>
      <c r="N19" s="25"/>
      <c r="O19" s="26">
        <v>17</v>
      </c>
      <c r="P19" s="9" t="s">
        <v>105</v>
      </c>
      <c r="Q19" s="1">
        <v>1</v>
      </c>
      <c r="R19" s="1">
        <v>1</v>
      </c>
      <c r="S19" s="1">
        <v>0</v>
      </c>
      <c r="T19" s="1">
        <f>SUM(R19,S19)</f>
        <v>1</v>
      </c>
      <c r="U19" s="24"/>
      <c r="V19" s="26">
        <v>17</v>
      </c>
      <c r="W19" s="35" t="s">
        <v>186</v>
      </c>
      <c r="X19" s="31">
        <v>3</v>
      </c>
      <c r="Y19" s="24"/>
      <c r="Z19" s="24"/>
      <c r="AA19" s="62"/>
      <c r="AB19" s="62" t="s">
        <v>205</v>
      </c>
      <c r="AC19" s="62">
        <v>1</v>
      </c>
      <c r="AD19" s="62">
        <v>0</v>
      </c>
      <c r="AE19" s="62">
        <v>0</v>
      </c>
      <c r="AF19" s="62">
        <v>0</v>
      </c>
      <c r="AG19" s="62"/>
      <c r="AH19" s="62"/>
      <c r="AI19" s="24"/>
      <c r="AJ19" s="24"/>
    </row>
    <row r="20" spans="1:36" x14ac:dyDescent="0.25">
      <c r="A20" s="26">
        <v>18</v>
      </c>
      <c r="B20" s="9" t="s">
        <v>90</v>
      </c>
      <c r="C20" s="1">
        <v>4</v>
      </c>
      <c r="D20" s="25"/>
      <c r="E20" s="26">
        <v>18</v>
      </c>
      <c r="F20" s="9" t="s">
        <v>90</v>
      </c>
      <c r="G20" s="1">
        <v>4</v>
      </c>
      <c r="H20" s="1">
        <v>0</v>
      </c>
      <c r="I20" s="25"/>
      <c r="J20" s="26">
        <v>18</v>
      </c>
      <c r="K20" s="9" t="s">
        <v>88</v>
      </c>
      <c r="L20" s="1">
        <v>5</v>
      </c>
      <c r="M20" s="1">
        <v>0</v>
      </c>
      <c r="N20" s="25"/>
      <c r="O20" s="26">
        <v>18</v>
      </c>
      <c r="P20" s="9" t="s">
        <v>97</v>
      </c>
      <c r="Q20" s="1">
        <v>8</v>
      </c>
      <c r="R20" s="1">
        <v>0</v>
      </c>
      <c r="S20" s="1">
        <v>0</v>
      </c>
      <c r="T20" s="1">
        <f>SUM(R20,S20)</f>
        <v>0</v>
      </c>
      <c r="U20" s="24"/>
      <c r="V20" s="26">
        <v>18</v>
      </c>
      <c r="W20" s="35" t="s">
        <v>179</v>
      </c>
      <c r="X20" s="31">
        <v>3</v>
      </c>
      <c r="Y20" s="24"/>
      <c r="Z20" s="24"/>
      <c r="AA20" s="62"/>
      <c r="AB20" s="62"/>
      <c r="AC20" s="62"/>
      <c r="AD20" s="62"/>
      <c r="AE20" s="62"/>
      <c r="AF20" s="62"/>
      <c r="AG20" s="62"/>
      <c r="AH20" s="62"/>
      <c r="AI20" s="24"/>
      <c r="AJ20" s="24"/>
    </row>
    <row r="21" spans="1:36" x14ac:dyDescent="0.25">
      <c r="A21" s="26">
        <v>19</v>
      </c>
      <c r="B21" s="9" t="s">
        <v>93</v>
      </c>
      <c r="C21" s="1">
        <v>4</v>
      </c>
      <c r="D21" s="25"/>
      <c r="E21" s="26">
        <v>19</v>
      </c>
      <c r="F21" s="9" t="s">
        <v>143</v>
      </c>
      <c r="G21" s="1">
        <v>6</v>
      </c>
      <c r="H21" s="1">
        <v>0</v>
      </c>
      <c r="I21" s="25"/>
      <c r="J21" s="26">
        <v>19</v>
      </c>
      <c r="K21" s="9" t="s">
        <v>91</v>
      </c>
      <c r="L21" s="1">
        <v>5</v>
      </c>
      <c r="M21" s="1">
        <v>0</v>
      </c>
      <c r="N21" s="25"/>
      <c r="O21" s="26">
        <v>19</v>
      </c>
      <c r="P21" s="9" t="s">
        <v>94</v>
      </c>
      <c r="Q21" s="1">
        <v>7</v>
      </c>
      <c r="R21" s="1">
        <v>0</v>
      </c>
      <c r="S21" s="1">
        <v>0</v>
      </c>
      <c r="T21" s="1">
        <f>SUM(R21,S21)</f>
        <v>0</v>
      </c>
      <c r="U21" s="24"/>
      <c r="V21" s="26">
        <v>19</v>
      </c>
      <c r="W21" s="35" t="s">
        <v>172</v>
      </c>
      <c r="X21" s="31">
        <v>2</v>
      </c>
      <c r="Y21" s="24"/>
      <c r="Z21" s="24"/>
      <c r="AA21" s="62" t="s">
        <v>204</v>
      </c>
      <c r="AB21" s="63">
        <v>2026</v>
      </c>
      <c r="AC21" s="63" t="s">
        <v>241</v>
      </c>
      <c r="AD21" s="63">
        <v>1</v>
      </c>
      <c r="AE21" s="64">
        <v>1</v>
      </c>
      <c r="AF21" s="63" t="s">
        <v>240</v>
      </c>
      <c r="AG21" s="65" t="s">
        <v>14</v>
      </c>
      <c r="AH21" s="65"/>
      <c r="AI21" s="24"/>
      <c r="AJ21" s="24"/>
    </row>
    <row r="22" spans="1:36" x14ac:dyDescent="0.25">
      <c r="A22" s="26">
        <v>20</v>
      </c>
      <c r="B22" s="9" t="s">
        <v>95</v>
      </c>
      <c r="C22" s="1">
        <v>4</v>
      </c>
      <c r="D22" s="25"/>
      <c r="E22" s="26">
        <v>20</v>
      </c>
      <c r="F22" s="9" t="s">
        <v>45</v>
      </c>
      <c r="G22" s="1">
        <v>3</v>
      </c>
      <c r="H22" s="1">
        <v>0</v>
      </c>
      <c r="I22" s="25"/>
      <c r="J22" s="26">
        <v>20</v>
      </c>
      <c r="K22" s="9" t="s">
        <v>90</v>
      </c>
      <c r="L22" s="1">
        <v>4</v>
      </c>
      <c r="M22" s="1">
        <v>0</v>
      </c>
      <c r="N22" s="25"/>
      <c r="O22" s="26">
        <v>20</v>
      </c>
      <c r="P22" s="9" t="s">
        <v>88</v>
      </c>
      <c r="Q22" s="1">
        <v>5</v>
      </c>
      <c r="R22" s="1">
        <v>0</v>
      </c>
      <c r="S22" s="1">
        <v>0</v>
      </c>
      <c r="T22" s="1">
        <f>SUM(R22,S22)</f>
        <v>0</v>
      </c>
      <c r="U22" s="24"/>
      <c r="V22" s="26">
        <v>20</v>
      </c>
      <c r="W22" s="35" t="s">
        <v>175</v>
      </c>
      <c r="X22" s="31">
        <v>2</v>
      </c>
      <c r="Y22" s="24"/>
      <c r="Z22" s="24"/>
      <c r="AA22" s="62"/>
      <c r="AB22" s="62" t="s">
        <v>115</v>
      </c>
      <c r="AC22" s="62" t="s">
        <v>85</v>
      </c>
      <c r="AD22" s="62" t="s">
        <v>86</v>
      </c>
      <c r="AE22" s="62" t="s">
        <v>87</v>
      </c>
      <c r="AF22" s="62" t="s">
        <v>145</v>
      </c>
      <c r="AG22" s="62"/>
      <c r="AH22" s="62"/>
      <c r="AI22" s="24"/>
      <c r="AJ22" s="24"/>
    </row>
    <row r="23" spans="1:36" x14ac:dyDescent="0.25">
      <c r="A23" s="26">
        <v>21</v>
      </c>
      <c r="B23" s="9" t="s">
        <v>201</v>
      </c>
      <c r="C23" s="1">
        <v>4</v>
      </c>
      <c r="D23" s="25"/>
      <c r="E23" s="26">
        <v>21</v>
      </c>
      <c r="F23" s="9" t="s">
        <v>129</v>
      </c>
      <c r="G23" s="1">
        <v>3</v>
      </c>
      <c r="H23" s="1">
        <v>0</v>
      </c>
      <c r="I23" s="25"/>
      <c r="J23" s="26">
        <v>21</v>
      </c>
      <c r="K23" s="9" t="s">
        <v>129</v>
      </c>
      <c r="L23" s="1">
        <v>3</v>
      </c>
      <c r="M23" s="1">
        <v>0</v>
      </c>
      <c r="N23" s="25"/>
      <c r="O23" s="26">
        <v>21</v>
      </c>
      <c r="P23" s="9" t="s">
        <v>90</v>
      </c>
      <c r="Q23" s="1">
        <v>4</v>
      </c>
      <c r="R23" s="1">
        <v>0</v>
      </c>
      <c r="S23" s="1">
        <v>0</v>
      </c>
      <c r="T23" s="1">
        <f>SUM(R23,S23)</f>
        <v>0</v>
      </c>
      <c r="U23" s="24"/>
      <c r="V23" s="26">
        <v>21</v>
      </c>
      <c r="W23" s="35" t="s">
        <v>164</v>
      </c>
      <c r="X23" s="31">
        <v>2</v>
      </c>
      <c r="Y23" s="24"/>
      <c r="Z23" s="24"/>
      <c r="AA23" s="62"/>
      <c r="AB23" s="62" t="s">
        <v>139</v>
      </c>
      <c r="AC23" s="62">
        <v>1</v>
      </c>
      <c r="AD23" s="62">
        <v>0</v>
      </c>
      <c r="AE23" s="62">
        <v>0</v>
      </c>
      <c r="AF23" s="62">
        <v>0</v>
      </c>
      <c r="AG23" s="62"/>
      <c r="AH23" s="62"/>
      <c r="AI23" s="24"/>
      <c r="AJ23" s="24"/>
    </row>
    <row r="24" spans="1:36" x14ac:dyDescent="0.25">
      <c r="A24" s="26">
        <v>22</v>
      </c>
      <c r="B24" s="9" t="s">
        <v>45</v>
      </c>
      <c r="C24" s="1">
        <v>3</v>
      </c>
      <c r="D24" s="25"/>
      <c r="E24" s="26">
        <v>22</v>
      </c>
      <c r="F24" s="9" t="s">
        <v>139</v>
      </c>
      <c r="G24" s="1">
        <v>5</v>
      </c>
      <c r="H24" s="1">
        <v>0</v>
      </c>
      <c r="I24" s="25"/>
      <c r="J24" s="26">
        <v>22</v>
      </c>
      <c r="K24" s="9" t="s">
        <v>139</v>
      </c>
      <c r="L24" s="1">
        <v>5</v>
      </c>
      <c r="M24" s="1">
        <v>0</v>
      </c>
      <c r="N24" s="25"/>
      <c r="O24" s="26">
        <v>22</v>
      </c>
      <c r="P24" s="9" t="s">
        <v>129</v>
      </c>
      <c r="Q24" s="1">
        <v>3</v>
      </c>
      <c r="R24" s="1">
        <v>0</v>
      </c>
      <c r="S24" s="1">
        <v>0</v>
      </c>
      <c r="T24" s="1">
        <f>SUM(R24,S24)</f>
        <v>0</v>
      </c>
      <c r="U24" s="24"/>
      <c r="V24" s="26">
        <v>22</v>
      </c>
      <c r="W24" s="35" t="s">
        <v>191</v>
      </c>
      <c r="X24" s="31">
        <v>2</v>
      </c>
      <c r="Y24" s="24"/>
      <c r="Z24" s="24"/>
      <c r="AA24" s="62"/>
      <c r="AB24" s="62" t="s">
        <v>230</v>
      </c>
      <c r="AC24" s="62">
        <v>1</v>
      </c>
      <c r="AD24" s="62">
        <v>0</v>
      </c>
      <c r="AE24" s="62">
        <v>0</v>
      </c>
      <c r="AF24" s="62">
        <v>0</v>
      </c>
      <c r="AG24" s="62"/>
      <c r="AH24" s="62"/>
      <c r="AI24" s="24"/>
      <c r="AJ24" s="24"/>
    </row>
    <row r="25" spans="1:36" x14ac:dyDescent="0.25">
      <c r="A25" s="26">
        <v>23</v>
      </c>
      <c r="B25" s="9" t="s">
        <v>129</v>
      </c>
      <c r="C25" s="1">
        <v>3</v>
      </c>
      <c r="D25" s="25"/>
      <c r="E25" s="26">
        <v>23</v>
      </c>
      <c r="F25" s="9" t="s">
        <v>95</v>
      </c>
      <c r="G25" s="1">
        <v>4</v>
      </c>
      <c r="H25" s="1">
        <v>0</v>
      </c>
      <c r="I25" s="25"/>
      <c r="J25" s="26">
        <v>23</v>
      </c>
      <c r="K25" s="9" t="s">
        <v>95</v>
      </c>
      <c r="L25" s="1">
        <v>4</v>
      </c>
      <c r="M25" s="1">
        <v>0</v>
      </c>
      <c r="N25" s="25"/>
      <c r="O25" s="26">
        <v>23</v>
      </c>
      <c r="P25" s="9" t="s">
        <v>139</v>
      </c>
      <c r="Q25" s="1">
        <v>5</v>
      </c>
      <c r="R25" s="1">
        <v>0</v>
      </c>
      <c r="S25" s="1">
        <v>0</v>
      </c>
      <c r="T25" s="1">
        <f>SUM(R25,S25)</f>
        <v>0</v>
      </c>
      <c r="U25" s="24"/>
      <c r="V25" s="26">
        <v>23</v>
      </c>
      <c r="W25" s="35" t="s">
        <v>192</v>
      </c>
      <c r="X25" s="31">
        <v>2</v>
      </c>
      <c r="Y25" s="24"/>
      <c r="Z25" s="24"/>
      <c r="AA25" s="62"/>
      <c r="AB25" s="62" t="s">
        <v>56</v>
      </c>
      <c r="AC25" s="62">
        <v>1</v>
      </c>
      <c r="AD25" s="62">
        <v>0</v>
      </c>
      <c r="AE25" s="62">
        <v>0</v>
      </c>
      <c r="AF25" s="62">
        <v>0</v>
      </c>
      <c r="AG25" s="62"/>
      <c r="AH25" s="62"/>
      <c r="AI25" s="24"/>
      <c r="AJ25" s="24"/>
    </row>
    <row r="26" spans="1:36" x14ac:dyDescent="0.25">
      <c r="A26" s="26">
        <v>24</v>
      </c>
      <c r="B26" s="9" t="s">
        <v>89</v>
      </c>
      <c r="C26" s="1">
        <v>2</v>
      </c>
      <c r="D26" s="25"/>
      <c r="E26" s="26">
        <v>24</v>
      </c>
      <c r="F26" s="9" t="s">
        <v>89</v>
      </c>
      <c r="G26" s="1">
        <v>2</v>
      </c>
      <c r="H26" s="1">
        <v>0</v>
      </c>
      <c r="I26" s="25"/>
      <c r="J26" s="26">
        <v>24</v>
      </c>
      <c r="K26" s="9" t="s">
        <v>89</v>
      </c>
      <c r="L26" s="1">
        <v>2</v>
      </c>
      <c r="M26" s="1">
        <v>0</v>
      </c>
      <c r="N26" s="25"/>
      <c r="O26" s="26">
        <v>24</v>
      </c>
      <c r="P26" s="9" t="s">
        <v>95</v>
      </c>
      <c r="Q26" s="1">
        <v>4</v>
      </c>
      <c r="R26" s="1">
        <v>0</v>
      </c>
      <c r="S26" s="1">
        <v>0</v>
      </c>
      <c r="T26" s="1">
        <f>SUM(R26,S26)</f>
        <v>0</v>
      </c>
      <c r="U26" s="24"/>
      <c r="V26" s="26">
        <v>24</v>
      </c>
      <c r="W26" s="35" t="s">
        <v>165</v>
      </c>
      <c r="X26" s="31">
        <v>1</v>
      </c>
      <c r="Y26" s="24"/>
      <c r="Z26" s="24"/>
      <c r="AA26" s="62"/>
      <c r="AB26" s="62" t="s">
        <v>58</v>
      </c>
      <c r="AC26" s="62">
        <v>1</v>
      </c>
      <c r="AD26" s="62">
        <v>0</v>
      </c>
      <c r="AE26" s="62">
        <v>0</v>
      </c>
      <c r="AF26" s="62">
        <v>0</v>
      </c>
      <c r="AG26" s="62"/>
      <c r="AH26" s="62"/>
      <c r="AI26" s="24"/>
      <c r="AJ26" s="24"/>
    </row>
    <row r="27" spans="1:36" x14ac:dyDescent="0.25">
      <c r="A27" s="26">
        <v>25</v>
      </c>
      <c r="B27" s="9" t="s">
        <v>141</v>
      </c>
      <c r="C27" s="1">
        <v>2</v>
      </c>
      <c r="D27" s="25"/>
      <c r="E27" s="26">
        <v>25</v>
      </c>
      <c r="F27" s="9" t="s">
        <v>201</v>
      </c>
      <c r="G27" s="1">
        <v>4</v>
      </c>
      <c r="H27" s="1">
        <v>0</v>
      </c>
      <c r="I27" s="25"/>
      <c r="J27" s="26">
        <v>25</v>
      </c>
      <c r="K27" s="9" t="s">
        <v>201</v>
      </c>
      <c r="L27" s="1">
        <v>4</v>
      </c>
      <c r="M27" s="1">
        <v>0</v>
      </c>
      <c r="N27" s="25"/>
      <c r="O27" s="26">
        <v>25</v>
      </c>
      <c r="P27" s="9" t="s">
        <v>89</v>
      </c>
      <c r="Q27" s="1">
        <v>2</v>
      </c>
      <c r="R27" s="1">
        <v>0</v>
      </c>
      <c r="S27" s="1">
        <v>0</v>
      </c>
      <c r="T27" s="1">
        <f>SUM(R27,S27)</f>
        <v>0</v>
      </c>
      <c r="U27" s="24"/>
      <c r="V27" s="26">
        <v>25</v>
      </c>
      <c r="W27" s="35" t="s">
        <v>170</v>
      </c>
      <c r="X27" s="31">
        <v>1</v>
      </c>
      <c r="Y27" s="24"/>
      <c r="Z27" s="24"/>
      <c r="AA27" s="62"/>
      <c r="AB27" s="62" t="s">
        <v>52</v>
      </c>
      <c r="AC27" s="62">
        <v>1</v>
      </c>
      <c r="AD27" s="62">
        <v>0</v>
      </c>
      <c r="AE27" s="62">
        <v>1</v>
      </c>
      <c r="AF27" s="62">
        <v>0</v>
      </c>
      <c r="AG27" s="62"/>
      <c r="AH27" s="62"/>
      <c r="AI27" s="24"/>
      <c r="AJ27" s="24"/>
    </row>
    <row r="28" spans="1:36" x14ac:dyDescent="0.25">
      <c r="A28" s="26">
        <v>26</v>
      </c>
      <c r="B28" s="9" t="s">
        <v>142</v>
      </c>
      <c r="C28" s="1">
        <v>2</v>
      </c>
      <c r="D28" s="25"/>
      <c r="E28" s="26">
        <v>26</v>
      </c>
      <c r="F28" s="9" t="s">
        <v>141</v>
      </c>
      <c r="G28" s="1">
        <v>2</v>
      </c>
      <c r="H28" s="1">
        <v>0</v>
      </c>
      <c r="I28" s="25"/>
      <c r="J28" s="26">
        <v>26</v>
      </c>
      <c r="K28" s="9" t="s">
        <v>105</v>
      </c>
      <c r="L28" s="1">
        <v>1</v>
      </c>
      <c r="M28" s="1">
        <v>0</v>
      </c>
      <c r="N28" s="25"/>
      <c r="O28" s="26">
        <v>26</v>
      </c>
      <c r="P28" s="9" t="s">
        <v>201</v>
      </c>
      <c r="Q28" s="1">
        <v>4</v>
      </c>
      <c r="R28" s="1">
        <v>0</v>
      </c>
      <c r="S28" s="1">
        <v>0</v>
      </c>
      <c r="T28" s="1">
        <f>SUM(R28,S28)</f>
        <v>0</v>
      </c>
      <c r="U28" s="24"/>
      <c r="V28" s="26">
        <v>26</v>
      </c>
      <c r="W28" s="35" t="s">
        <v>207</v>
      </c>
      <c r="X28" s="31">
        <v>1</v>
      </c>
      <c r="Y28" s="24"/>
      <c r="Z28" s="24"/>
      <c r="AA28" s="62"/>
      <c r="AB28" s="62" t="s">
        <v>46</v>
      </c>
      <c r="AC28" s="62">
        <v>1</v>
      </c>
      <c r="AD28" s="62">
        <v>1</v>
      </c>
      <c r="AE28" s="62">
        <v>0</v>
      </c>
      <c r="AF28" s="62">
        <v>0</v>
      </c>
      <c r="AG28" s="62"/>
      <c r="AH28" s="62"/>
      <c r="AI28" s="24"/>
      <c r="AJ28" s="24"/>
    </row>
    <row r="29" spans="1:36" x14ac:dyDescent="0.25">
      <c r="A29" s="26">
        <v>27</v>
      </c>
      <c r="B29" s="9" t="s">
        <v>100</v>
      </c>
      <c r="C29" s="1">
        <v>1</v>
      </c>
      <c r="D29" s="25"/>
      <c r="E29" s="26">
        <v>27</v>
      </c>
      <c r="F29" s="9" t="s">
        <v>142</v>
      </c>
      <c r="G29" s="1">
        <v>2</v>
      </c>
      <c r="H29" s="1">
        <v>0</v>
      </c>
      <c r="I29" s="25"/>
      <c r="J29" s="26">
        <v>27</v>
      </c>
      <c r="K29" s="9" t="s">
        <v>106</v>
      </c>
      <c r="L29" s="1">
        <v>1</v>
      </c>
      <c r="M29" s="1">
        <v>0</v>
      </c>
      <c r="N29" s="25"/>
      <c r="O29" s="26">
        <v>27</v>
      </c>
      <c r="P29" s="9" t="s">
        <v>141</v>
      </c>
      <c r="Q29" s="1">
        <v>2</v>
      </c>
      <c r="R29" s="1">
        <v>0</v>
      </c>
      <c r="S29" s="1">
        <v>0</v>
      </c>
      <c r="T29" s="1">
        <f>SUM(R29,S29)</f>
        <v>0</v>
      </c>
      <c r="U29" s="24"/>
      <c r="V29" s="26">
        <v>27</v>
      </c>
      <c r="W29" s="35" t="s">
        <v>185</v>
      </c>
      <c r="X29" s="31">
        <v>1</v>
      </c>
      <c r="Y29" s="24"/>
      <c r="Z29" s="24"/>
      <c r="AA29" s="62"/>
      <c r="AB29" s="62" t="s">
        <v>132</v>
      </c>
      <c r="AC29" s="62">
        <v>1</v>
      </c>
      <c r="AD29" s="62">
        <v>0</v>
      </c>
      <c r="AE29" s="62">
        <v>0</v>
      </c>
      <c r="AF29" s="62">
        <v>0</v>
      </c>
      <c r="AG29" s="62"/>
      <c r="AH29" s="62"/>
      <c r="AI29" s="24"/>
      <c r="AJ29" s="24"/>
    </row>
    <row r="30" spans="1:36" x14ac:dyDescent="0.25">
      <c r="A30" s="26">
        <v>28</v>
      </c>
      <c r="B30" s="9" t="s">
        <v>105</v>
      </c>
      <c r="C30" s="1">
        <v>1</v>
      </c>
      <c r="D30" s="25"/>
      <c r="E30" s="26">
        <v>28</v>
      </c>
      <c r="F30" s="9" t="s">
        <v>100</v>
      </c>
      <c r="G30" s="1">
        <v>1</v>
      </c>
      <c r="H30" s="1">
        <v>0</v>
      </c>
      <c r="I30" s="25"/>
      <c r="J30" s="26">
        <v>28</v>
      </c>
      <c r="K30" s="9" t="s">
        <v>140</v>
      </c>
      <c r="L30" s="1">
        <v>1</v>
      </c>
      <c r="M30" s="1">
        <v>0</v>
      </c>
      <c r="N30" s="25"/>
      <c r="O30" s="26">
        <v>28</v>
      </c>
      <c r="P30" s="9" t="s">
        <v>142</v>
      </c>
      <c r="Q30" s="1">
        <v>2</v>
      </c>
      <c r="R30" s="1">
        <v>0</v>
      </c>
      <c r="S30" s="1">
        <v>0</v>
      </c>
      <c r="T30" s="1">
        <f>SUM(R30,S30)</f>
        <v>0</v>
      </c>
      <c r="U30" s="24"/>
      <c r="V30" s="26">
        <v>28</v>
      </c>
      <c r="W30" s="35" t="s">
        <v>202</v>
      </c>
      <c r="X30" s="31">
        <v>1</v>
      </c>
      <c r="Y30" s="24"/>
      <c r="Z30" s="24"/>
      <c r="AA30" s="62"/>
      <c r="AB30" s="62" t="s">
        <v>231</v>
      </c>
      <c r="AC30" s="62">
        <v>0</v>
      </c>
      <c r="AD30" s="62">
        <v>0</v>
      </c>
      <c r="AE30" s="62">
        <v>0</v>
      </c>
      <c r="AF30" s="62">
        <v>0</v>
      </c>
      <c r="AG30" s="62"/>
      <c r="AH30" s="62"/>
      <c r="AI30" s="24"/>
      <c r="AJ30" s="24"/>
    </row>
    <row r="31" spans="1:36" x14ac:dyDescent="0.25">
      <c r="A31" s="26">
        <v>29</v>
      </c>
      <c r="B31" s="9" t="s">
        <v>106</v>
      </c>
      <c r="C31" s="1">
        <v>1</v>
      </c>
      <c r="D31" s="25"/>
      <c r="E31" s="26">
        <v>29</v>
      </c>
      <c r="F31" s="9" t="s">
        <v>106</v>
      </c>
      <c r="G31" s="1">
        <v>1</v>
      </c>
      <c r="H31" s="1">
        <v>0</v>
      </c>
      <c r="I31" s="25"/>
      <c r="J31" s="26">
        <v>29</v>
      </c>
      <c r="K31" s="9" t="s">
        <v>141</v>
      </c>
      <c r="L31" s="1">
        <v>2</v>
      </c>
      <c r="M31" s="1">
        <v>0</v>
      </c>
      <c r="N31" s="25"/>
      <c r="O31" s="26">
        <v>29</v>
      </c>
      <c r="P31" s="9" t="s">
        <v>106</v>
      </c>
      <c r="Q31" s="1">
        <v>1</v>
      </c>
      <c r="R31" s="1">
        <v>0</v>
      </c>
      <c r="S31" s="1">
        <v>0</v>
      </c>
      <c r="T31" s="1">
        <f>SUM(R31,S31)</f>
        <v>0</v>
      </c>
      <c r="U31" s="24"/>
      <c r="V31" s="26">
        <v>29</v>
      </c>
      <c r="W31" s="36" t="s">
        <v>42</v>
      </c>
      <c r="X31" s="32">
        <v>0</v>
      </c>
      <c r="Y31" s="24"/>
      <c r="Z31" s="24"/>
      <c r="AA31" s="62"/>
      <c r="AB31" s="62" t="s">
        <v>109</v>
      </c>
      <c r="AC31" s="62">
        <v>0</v>
      </c>
      <c r="AD31" s="62">
        <v>0</v>
      </c>
      <c r="AE31" s="62">
        <v>0</v>
      </c>
      <c r="AF31" s="62">
        <v>0</v>
      </c>
      <c r="AG31" s="62"/>
      <c r="AH31" s="62"/>
      <c r="AI31" s="24"/>
      <c r="AJ31" s="24"/>
    </row>
    <row r="32" spans="1:36" x14ac:dyDescent="0.25">
      <c r="A32" s="26">
        <v>30</v>
      </c>
      <c r="B32" s="9" t="s">
        <v>140</v>
      </c>
      <c r="C32" s="1">
        <v>1</v>
      </c>
      <c r="D32" s="24"/>
      <c r="E32" s="26">
        <v>30</v>
      </c>
      <c r="F32" s="9" t="s">
        <v>140</v>
      </c>
      <c r="G32" s="1">
        <v>1</v>
      </c>
      <c r="H32" s="1">
        <v>0</v>
      </c>
      <c r="I32" s="24"/>
      <c r="J32" s="26">
        <v>30</v>
      </c>
      <c r="K32" s="9" t="s">
        <v>142</v>
      </c>
      <c r="L32" s="1">
        <v>2</v>
      </c>
      <c r="M32" s="1">
        <v>0</v>
      </c>
      <c r="N32" s="24"/>
      <c r="O32" s="26">
        <v>30</v>
      </c>
      <c r="P32" s="9" t="s">
        <v>140</v>
      </c>
      <c r="Q32" s="1">
        <v>1</v>
      </c>
      <c r="R32" s="1">
        <v>0</v>
      </c>
      <c r="S32" s="1">
        <v>0</v>
      </c>
      <c r="T32" s="1">
        <f>SUM(R32,S32)</f>
        <v>0</v>
      </c>
      <c r="U32" s="24"/>
      <c r="V32" s="26">
        <v>30</v>
      </c>
      <c r="W32" s="35" t="s">
        <v>168</v>
      </c>
      <c r="X32" s="31">
        <v>0</v>
      </c>
      <c r="Y32" s="24"/>
      <c r="Z32" s="24"/>
      <c r="AA32" s="62"/>
      <c r="AB32" s="62" t="s">
        <v>242</v>
      </c>
      <c r="AC32" s="62">
        <v>1</v>
      </c>
      <c r="AD32" s="62">
        <v>0</v>
      </c>
      <c r="AE32" s="62">
        <v>0</v>
      </c>
      <c r="AF32" s="62">
        <v>0</v>
      </c>
      <c r="AG32" s="62"/>
      <c r="AH32" s="62"/>
      <c r="AI32" s="24"/>
      <c r="AJ32" s="24"/>
    </row>
    <row r="33" spans="1:43" x14ac:dyDescent="0.25">
      <c r="A33" s="26">
        <v>31</v>
      </c>
      <c r="B33" s="9" t="s">
        <v>232</v>
      </c>
      <c r="C33" s="1">
        <v>1</v>
      </c>
      <c r="D33" s="24"/>
      <c r="E33" s="26">
        <v>31</v>
      </c>
      <c r="F33" s="9" t="s">
        <v>232</v>
      </c>
      <c r="G33" s="1">
        <v>1</v>
      </c>
      <c r="H33" s="1">
        <v>0</v>
      </c>
      <c r="I33" s="24"/>
      <c r="J33" s="26">
        <v>31</v>
      </c>
      <c r="K33" s="9" t="s">
        <v>232</v>
      </c>
      <c r="L33" s="1">
        <v>1</v>
      </c>
      <c r="M33" s="1">
        <v>0</v>
      </c>
      <c r="N33" s="24"/>
      <c r="O33" s="26">
        <v>31</v>
      </c>
      <c r="P33" s="9" t="s">
        <v>232</v>
      </c>
      <c r="Q33" s="1">
        <v>1</v>
      </c>
      <c r="R33" s="1">
        <v>0</v>
      </c>
      <c r="S33" s="1">
        <v>0</v>
      </c>
      <c r="T33" s="1">
        <f>SUM(R33,S33)</f>
        <v>0</v>
      </c>
      <c r="U33" s="24"/>
      <c r="V33" s="41">
        <v>31</v>
      </c>
      <c r="W33" s="36" t="s">
        <v>190</v>
      </c>
      <c r="X33" s="32">
        <v>0</v>
      </c>
      <c r="Y33" s="24"/>
      <c r="Z33" s="24"/>
      <c r="AA33" s="62"/>
      <c r="AB33" s="62" t="s">
        <v>243</v>
      </c>
      <c r="AC33" s="62">
        <v>1</v>
      </c>
      <c r="AD33" s="62">
        <v>0</v>
      </c>
      <c r="AE33" s="62">
        <v>0</v>
      </c>
      <c r="AF33" s="62">
        <v>0</v>
      </c>
      <c r="AG33" s="62"/>
      <c r="AH33" s="62"/>
      <c r="AI33" s="24"/>
      <c r="AJ33" s="24"/>
    </row>
    <row r="34" spans="1:43" x14ac:dyDescent="0.25">
      <c r="A34" s="26">
        <v>32</v>
      </c>
      <c r="B34" s="9" t="s">
        <v>234</v>
      </c>
      <c r="C34" s="1">
        <v>1</v>
      </c>
      <c r="D34" s="24"/>
      <c r="E34" s="26">
        <v>32</v>
      </c>
      <c r="F34" s="9" t="s">
        <v>234</v>
      </c>
      <c r="G34" s="1">
        <v>1</v>
      </c>
      <c r="H34" s="1">
        <v>0</v>
      </c>
      <c r="I34" s="24"/>
      <c r="J34" s="26">
        <v>32</v>
      </c>
      <c r="K34" s="9" t="s">
        <v>234</v>
      </c>
      <c r="L34" s="1">
        <v>1</v>
      </c>
      <c r="M34" s="1">
        <v>0</v>
      </c>
      <c r="N34" s="24"/>
      <c r="O34" s="26">
        <v>32</v>
      </c>
      <c r="P34" s="9" t="s">
        <v>234</v>
      </c>
      <c r="Q34" s="1">
        <v>1</v>
      </c>
      <c r="R34" s="1">
        <v>0</v>
      </c>
      <c r="S34" s="1">
        <v>0</v>
      </c>
      <c r="T34" s="1">
        <f>SUM(R34,S34)</f>
        <v>0</v>
      </c>
      <c r="U34" s="24"/>
      <c r="V34" s="41">
        <v>32</v>
      </c>
      <c r="W34" s="35" t="s">
        <v>233</v>
      </c>
      <c r="X34" s="31">
        <v>0</v>
      </c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</row>
    <row r="35" spans="1:43" x14ac:dyDescent="0.25">
      <c r="A35" s="26">
        <v>33</v>
      </c>
      <c r="B35" s="9" t="s">
        <v>235</v>
      </c>
      <c r="C35" s="1">
        <v>1</v>
      </c>
      <c r="D35" s="24"/>
      <c r="E35" s="26">
        <v>33</v>
      </c>
      <c r="F35" s="51" t="s">
        <v>235</v>
      </c>
      <c r="G35" s="52">
        <v>1</v>
      </c>
      <c r="H35" s="1">
        <v>0</v>
      </c>
      <c r="I35" s="24"/>
      <c r="J35" s="26">
        <v>33</v>
      </c>
      <c r="K35" s="51" t="s">
        <v>235</v>
      </c>
      <c r="L35" s="52">
        <v>1</v>
      </c>
      <c r="M35" s="1">
        <v>0</v>
      </c>
      <c r="N35" s="24"/>
      <c r="O35" s="26">
        <v>33</v>
      </c>
      <c r="P35" s="51" t="s">
        <v>235</v>
      </c>
      <c r="Q35" s="1">
        <v>1</v>
      </c>
      <c r="R35" s="1">
        <v>0</v>
      </c>
      <c r="S35" s="1">
        <v>0</v>
      </c>
      <c r="T35" s="1">
        <f>SUM(R35,S35)</f>
        <v>0</v>
      </c>
      <c r="U35" s="24"/>
      <c r="V35" s="41">
        <v>33</v>
      </c>
      <c r="W35" s="44" t="s">
        <v>234</v>
      </c>
      <c r="X35" s="45">
        <v>0</v>
      </c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</row>
    <row r="36" spans="1:43" x14ac:dyDescent="0.2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50"/>
      <c r="R36" s="24"/>
      <c r="S36" s="24"/>
      <c r="T36" s="24"/>
      <c r="U36" s="24"/>
      <c r="V36" s="41">
        <v>34</v>
      </c>
      <c r="W36" s="44" t="s">
        <v>235</v>
      </c>
      <c r="X36" s="45">
        <v>0</v>
      </c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</row>
    <row r="37" spans="1:43" x14ac:dyDescent="0.25">
      <c r="A37" s="49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</row>
    <row r="38" spans="1:43" x14ac:dyDescent="0.25">
      <c r="A38" s="49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</row>
    <row r="39" spans="1:43" x14ac:dyDescent="0.25">
      <c r="A39" s="49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</row>
    <row r="40" spans="1:43" x14ac:dyDescent="0.25">
      <c r="A40" s="49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49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</row>
    <row r="41" spans="1:43" x14ac:dyDescent="0.25">
      <c r="A41" s="49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49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</row>
    <row r="42" spans="1:43" x14ac:dyDescent="0.25">
      <c r="A42" s="49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49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</row>
    <row r="43" spans="1:43" x14ac:dyDescent="0.25">
      <c r="A43" s="49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49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</row>
    <row r="44" spans="1:43" x14ac:dyDescent="0.25">
      <c r="A44" s="49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49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</row>
    <row r="45" spans="1:43" x14ac:dyDescent="0.25">
      <c r="A45" s="49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49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</row>
    <row r="46" spans="1:43" x14ac:dyDescent="0.25">
      <c r="A46" s="49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49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</row>
    <row r="47" spans="1:43" x14ac:dyDescent="0.25">
      <c r="A47" s="49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49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</row>
    <row r="48" spans="1:43" x14ac:dyDescent="0.25">
      <c r="A48" s="49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49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</row>
    <row r="49" spans="1:43" x14ac:dyDescent="0.2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49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</row>
    <row r="50" spans="1:43" x14ac:dyDescent="0.25">
      <c r="A50" s="49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49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</row>
    <row r="51" spans="1:43" x14ac:dyDescent="0.25">
      <c r="A51" s="49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</row>
    <row r="52" spans="1:43" x14ac:dyDescent="0.25">
      <c r="A52" s="49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</row>
    <row r="53" spans="1:43" x14ac:dyDescent="0.25">
      <c r="A53" s="49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</row>
    <row r="54" spans="1:43" x14ac:dyDescent="0.25">
      <c r="A54" s="49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</row>
    <row r="55" spans="1:43" x14ac:dyDescent="0.25">
      <c r="A55" s="49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</row>
    <row r="56" spans="1:43" x14ac:dyDescent="0.25">
      <c r="A56" s="49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</row>
    <row r="57" spans="1:43" x14ac:dyDescent="0.25">
      <c r="A57" s="49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</row>
    <row r="58" spans="1:43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</row>
    <row r="59" spans="1:43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</row>
    <row r="60" spans="1:43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</row>
    <row r="61" spans="1:43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</row>
    <row r="62" spans="1:43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</row>
    <row r="63" spans="1:43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</row>
    <row r="64" spans="1:43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</row>
    <row r="65" spans="1:37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</row>
    <row r="66" spans="1:37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</row>
    <row r="67" spans="1:37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</row>
    <row r="68" spans="1:37" x14ac:dyDescent="0.2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</row>
    <row r="69" spans="1:37" x14ac:dyDescent="0.2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</row>
    <row r="70" spans="1:37" x14ac:dyDescent="0.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</row>
    <row r="71" spans="1:37" x14ac:dyDescent="0.2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</row>
    <row r="72" spans="1:37" x14ac:dyDescent="0.2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</row>
    <row r="73" spans="1:37" x14ac:dyDescent="0.25"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</row>
    <row r="74" spans="1:37" x14ac:dyDescent="0.25"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</row>
    <row r="75" spans="1:37" x14ac:dyDescent="0.25">
      <c r="AC75" s="24"/>
      <c r="AD75" s="24"/>
      <c r="AE75" s="24"/>
      <c r="AF75" s="24"/>
      <c r="AG75" s="24"/>
      <c r="AH75" s="24"/>
      <c r="AI75" s="24"/>
      <c r="AJ75" s="24"/>
      <c r="AK75" s="24"/>
    </row>
  </sheetData>
  <mergeCells count="7">
    <mergeCell ref="AG8:AH8"/>
    <mergeCell ref="AG21:AH21"/>
    <mergeCell ref="B1:C1"/>
    <mergeCell ref="V1:X1"/>
    <mergeCell ref="F1:H1"/>
    <mergeCell ref="K1:M1"/>
    <mergeCell ref="P1:T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tableParts count="5"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83A27-8650-4EFD-8ABF-8C1B9E53D8A5}">
  <dimension ref="A1:BD324"/>
  <sheetViews>
    <sheetView topLeftCell="B1" zoomScaleNormal="100" workbookViewId="0">
      <selection activeCell="K11" sqref="K11"/>
    </sheetView>
  </sheetViews>
  <sheetFormatPr defaultRowHeight="15" x14ac:dyDescent="0.25"/>
  <cols>
    <col min="1" max="1" width="27.28515625" bestFit="1" customWidth="1"/>
    <col min="2" max="2" width="9.85546875" customWidth="1"/>
    <col min="3" max="3" width="9.7109375" customWidth="1"/>
    <col min="4" max="4" width="9.7109375" bestFit="1" customWidth="1"/>
    <col min="5" max="5" width="8.140625" bestFit="1" customWidth="1"/>
    <col min="6" max="6" width="9.85546875" customWidth="1"/>
    <col min="7" max="7" width="11" bestFit="1" customWidth="1"/>
    <col min="8" max="8" width="12.140625" bestFit="1" customWidth="1"/>
    <col min="9" max="9" width="26.7109375" bestFit="1" customWidth="1"/>
    <col min="10" max="10" width="9.85546875" bestFit="1" customWidth="1"/>
    <col min="17" max="17" width="23" customWidth="1"/>
    <col min="18" max="18" width="9.85546875" bestFit="1" customWidth="1"/>
    <col min="19" max="19" width="9.7109375" bestFit="1" customWidth="1"/>
    <col min="22" max="22" width="11.7109375" bestFit="1" customWidth="1"/>
    <col min="50" max="50" width="13.5703125" bestFit="1" customWidth="1"/>
  </cols>
  <sheetData>
    <row r="1" spans="1:51" x14ac:dyDescent="0.25">
      <c r="A1" s="10" t="s">
        <v>15</v>
      </c>
      <c r="B1" s="2">
        <v>2022</v>
      </c>
      <c r="C1" s="2" t="s">
        <v>27</v>
      </c>
      <c r="D1" s="2">
        <v>4</v>
      </c>
      <c r="E1" s="2">
        <v>5</v>
      </c>
      <c r="F1" s="2" t="s">
        <v>28</v>
      </c>
      <c r="G1" s="4">
        <v>0.5</v>
      </c>
      <c r="H1" s="4" t="s">
        <v>14</v>
      </c>
    </row>
    <row r="2" spans="1:51" x14ac:dyDescent="0.25">
      <c r="A2" s="10" t="s">
        <v>16</v>
      </c>
      <c r="B2" s="2">
        <v>2022</v>
      </c>
      <c r="C2" s="2" t="s">
        <v>27</v>
      </c>
      <c r="D2" s="2">
        <v>1</v>
      </c>
      <c r="E2" s="11">
        <v>1</v>
      </c>
      <c r="F2" s="2" t="s">
        <v>28</v>
      </c>
      <c r="G2" s="4">
        <v>1</v>
      </c>
      <c r="H2" s="4" t="s">
        <v>14</v>
      </c>
    </row>
    <row r="3" spans="1:51" x14ac:dyDescent="0.25">
      <c r="A3" s="15" t="s">
        <v>19</v>
      </c>
      <c r="B3" s="12">
        <v>2023</v>
      </c>
      <c r="C3" s="12" t="s">
        <v>29</v>
      </c>
      <c r="D3" s="12">
        <v>0</v>
      </c>
      <c r="E3" s="13">
        <v>0</v>
      </c>
      <c r="F3" s="12" t="s">
        <v>30</v>
      </c>
      <c r="G3" s="4">
        <v>0</v>
      </c>
      <c r="H3" s="4" t="s">
        <v>14</v>
      </c>
    </row>
    <row r="4" spans="1:51" x14ac:dyDescent="0.25">
      <c r="A4" s="15" t="s">
        <v>20</v>
      </c>
      <c r="B4" s="12">
        <v>2023</v>
      </c>
      <c r="C4" s="12" t="s">
        <v>29</v>
      </c>
      <c r="D4" s="12">
        <v>3</v>
      </c>
      <c r="E4" s="13">
        <v>2</v>
      </c>
      <c r="F4" s="12" t="s">
        <v>30</v>
      </c>
      <c r="G4" s="4">
        <v>0.33333333333333331</v>
      </c>
      <c r="H4" s="4" t="s">
        <v>14</v>
      </c>
    </row>
    <row r="5" spans="1:51" x14ac:dyDescent="0.25">
      <c r="A5" s="16" t="s">
        <v>11</v>
      </c>
      <c r="B5" s="5">
        <v>2024</v>
      </c>
      <c r="C5" s="5" t="s">
        <v>31</v>
      </c>
      <c r="D5" s="5">
        <v>5</v>
      </c>
      <c r="E5" s="14">
        <v>3</v>
      </c>
      <c r="F5" s="5" t="s">
        <v>32</v>
      </c>
      <c r="G5" s="8">
        <v>0.6</v>
      </c>
      <c r="H5" s="8" t="s">
        <v>14</v>
      </c>
    </row>
    <row r="6" spans="1:51" x14ac:dyDescent="0.25">
      <c r="N6" s="16" t="s">
        <v>11</v>
      </c>
      <c r="O6" s="5">
        <v>2024</v>
      </c>
      <c r="P6" s="5" t="s">
        <v>31</v>
      </c>
      <c r="Q6" s="5">
        <v>5</v>
      </c>
      <c r="R6" s="14">
        <v>3</v>
      </c>
      <c r="S6" s="5" t="s">
        <v>32</v>
      </c>
      <c r="V6" s="10" t="s">
        <v>16</v>
      </c>
      <c r="W6" s="2">
        <v>2022</v>
      </c>
      <c r="X6" s="2" t="s">
        <v>27</v>
      </c>
      <c r="Y6" s="2">
        <v>1</v>
      </c>
      <c r="Z6" s="11">
        <v>1</v>
      </c>
      <c r="AA6" s="2" t="s">
        <v>28</v>
      </c>
      <c r="AD6" s="10" t="s">
        <v>17</v>
      </c>
      <c r="AE6" s="12">
        <v>2022</v>
      </c>
      <c r="AF6" s="2" t="s">
        <v>27</v>
      </c>
      <c r="AG6" s="12">
        <v>10</v>
      </c>
      <c r="AH6" s="13">
        <v>3</v>
      </c>
      <c r="AI6" s="2" t="s">
        <v>28</v>
      </c>
      <c r="AM6" t="s">
        <v>115</v>
      </c>
      <c r="AN6" t="s">
        <v>85</v>
      </c>
      <c r="AO6" t="s">
        <v>145</v>
      </c>
      <c r="AX6" t="s">
        <v>115</v>
      </c>
      <c r="AY6" t="s">
        <v>145</v>
      </c>
    </row>
    <row r="7" spans="1:51" x14ac:dyDescent="0.25">
      <c r="O7" t="s">
        <v>36</v>
      </c>
      <c r="P7" t="s">
        <v>33</v>
      </c>
      <c r="Q7" t="s">
        <v>34</v>
      </c>
      <c r="W7" t="s">
        <v>36</v>
      </c>
      <c r="X7" t="s">
        <v>33</v>
      </c>
      <c r="Y7" t="s">
        <v>34</v>
      </c>
      <c r="AE7" t="s">
        <v>36</v>
      </c>
      <c r="AF7" t="s">
        <v>33</v>
      </c>
      <c r="AG7" t="s">
        <v>34</v>
      </c>
      <c r="AL7" s="24" t="str">
        <f>UPPER(AM7)</f>
        <v>FANTA</v>
      </c>
      <c r="AM7" s="24" t="s">
        <v>37</v>
      </c>
      <c r="AN7" s="24">
        <v>1</v>
      </c>
      <c r="AO7" s="24">
        <v>1</v>
      </c>
      <c r="AP7" s="24" t="s">
        <v>37</v>
      </c>
      <c r="AQ7" s="24">
        <f>SUMIF(AM7:AM185,"FANTA",$AO$7:$AO$185)</f>
        <v>5</v>
      </c>
      <c r="AT7" s="24" t="s">
        <v>96</v>
      </c>
      <c r="AW7">
        <v>1</v>
      </c>
      <c r="AX7" t="s">
        <v>37</v>
      </c>
      <c r="AY7">
        <v>5</v>
      </c>
    </row>
    <row r="8" spans="1:51" x14ac:dyDescent="0.25">
      <c r="N8" t="s">
        <v>35</v>
      </c>
      <c r="O8">
        <v>1</v>
      </c>
      <c r="P8">
        <v>3</v>
      </c>
      <c r="Q8">
        <v>0</v>
      </c>
      <c r="V8" t="s">
        <v>51</v>
      </c>
      <c r="W8">
        <v>1</v>
      </c>
      <c r="X8">
        <v>0</v>
      </c>
      <c r="Y8">
        <v>1</v>
      </c>
      <c r="AD8" t="s">
        <v>57</v>
      </c>
      <c r="AE8">
        <v>1</v>
      </c>
      <c r="AF8">
        <v>9</v>
      </c>
      <c r="AG8">
        <v>0</v>
      </c>
      <c r="AL8" s="24" t="str">
        <f t="shared" ref="AL8:AL91" si="0">UPPER(AM8)</f>
        <v>KRETZER</v>
      </c>
      <c r="AM8" s="24" t="s">
        <v>163</v>
      </c>
      <c r="AN8" s="24">
        <v>1</v>
      </c>
      <c r="AO8" s="24">
        <v>1</v>
      </c>
      <c r="AP8" s="24" t="s">
        <v>163</v>
      </c>
      <c r="AQ8" s="24">
        <f ca="1">SUMIF($AM$7:$AM$186,"KRETZER",$AO$7:$AO$185)</f>
        <v>3</v>
      </c>
      <c r="AT8" s="24" t="s">
        <v>98</v>
      </c>
      <c r="AW8">
        <v>2</v>
      </c>
      <c r="AX8" t="s">
        <v>40</v>
      </c>
      <c r="AY8">
        <v>5</v>
      </c>
    </row>
    <row r="9" spans="1:51" x14ac:dyDescent="0.25">
      <c r="N9" t="s">
        <v>37</v>
      </c>
      <c r="O9">
        <v>1</v>
      </c>
      <c r="P9">
        <v>1</v>
      </c>
      <c r="Q9">
        <v>0</v>
      </c>
      <c r="V9" t="s">
        <v>52</v>
      </c>
      <c r="W9">
        <v>1</v>
      </c>
      <c r="X9">
        <v>1</v>
      </c>
      <c r="Y9">
        <v>0</v>
      </c>
      <c r="AD9" t="s">
        <v>56</v>
      </c>
      <c r="AE9">
        <v>1</v>
      </c>
      <c r="AF9">
        <v>1</v>
      </c>
      <c r="AG9">
        <v>1</v>
      </c>
      <c r="AL9" s="24" t="str">
        <f t="shared" si="0"/>
        <v>LETTI</v>
      </c>
      <c r="AM9" s="24" t="s">
        <v>35</v>
      </c>
      <c r="AN9" s="24">
        <v>1</v>
      </c>
      <c r="AO9" s="24">
        <v>1</v>
      </c>
      <c r="AP9" s="24" t="s">
        <v>35</v>
      </c>
      <c r="AQ9" s="24">
        <f ca="1">SUMIF($AM$7:$AM$186,"LETTI",$AO$7:$AO$185)</f>
        <v>4</v>
      </c>
      <c r="AT9" s="24" t="s">
        <v>99</v>
      </c>
      <c r="AW9">
        <v>3</v>
      </c>
      <c r="AX9" t="s">
        <v>166</v>
      </c>
      <c r="AY9">
        <v>5</v>
      </c>
    </row>
    <row r="10" spans="1:51" x14ac:dyDescent="0.25">
      <c r="N10" t="s">
        <v>38</v>
      </c>
      <c r="O10">
        <v>1</v>
      </c>
      <c r="P10">
        <v>1</v>
      </c>
      <c r="Q10">
        <v>0</v>
      </c>
      <c r="V10" t="s">
        <v>49</v>
      </c>
      <c r="W10">
        <v>1</v>
      </c>
      <c r="X10">
        <v>0</v>
      </c>
      <c r="Y10">
        <v>1</v>
      </c>
      <c r="AD10" t="s">
        <v>58</v>
      </c>
      <c r="AE10">
        <v>1</v>
      </c>
      <c r="AF10">
        <v>0</v>
      </c>
      <c r="AG10">
        <v>1</v>
      </c>
      <c r="AL10" s="24" t="str">
        <f t="shared" si="0"/>
        <v>GLAUBER</v>
      </c>
      <c r="AM10" s="24" t="s">
        <v>40</v>
      </c>
      <c r="AN10" s="24">
        <v>1</v>
      </c>
      <c r="AO10" s="24">
        <v>1</v>
      </c>
      <c r="AP10" s="24" t="s">
        <v>40</v>
      </c>
      <c r="AQ10" s="24">
        <f ca="1">SUMIF($AM$7:$AM$186,"GLAUBER",$AO$7:$AO$185)</f>
        <v>5</v>
      </c>
      <c r="AT10" s="24" t="s">
        <v>101</v>
      </c>
      <c r="AW10">
        <v>4</v>
      </c>
      <c r="AX10" t="s">
        <v>35</v>
      </c>
      <c r="AY10">
        <v>4</v>
      </c>
    </row>
    <row r="11" spans="1:51" x14ac:dyDescent="0.25">
      <c r="N11" t="s">
        <v>39</v>
      </c>
      <c r="O11">
        <v>1</v>
      </c>
      <c r="P11">
        <v>0</v>
      </c>
      <c r="Q11">
        <v>1</v>
      </c>
      <c r="V11" t="s">
        <v>48</v>
      </c>
      <c r="W11">
        <v>1</v>
      </c>
      <c r="X11">
        <v>1</v>
      </c>
      <c r="Y11">
        <v>0</v>
      </c>
      <c r="AD11" t="s">
        <v>51</v>
      </c>
      <c r="AE11">
        <v>1</v>
      </c>
      <c r="AF11">
        <v>1</v>
      </c>
      <c r="AG11">
        <v>1</v>
      </c>
      <c r="AL11" s="24" t="str">
        <f t="shared" si="0"/>
        <v>LEO GODINHO</v>
      </c>
      <c r="AM11" s="24" t="s">
        <v>164</v>
      </c>
      <c r="AN11" s="24">
        <v>1</v>
      </c>
      <c r="AO11" s="24">
        <v>1</v>
      </c>
      <c r="AP11" s="24" t="s">
        <v>164</v>
      </c>
      <c r="AQ11" s="24">
        <f ca="1">SUMIF($AM$7:$AM$186,"LEO GODINHO",$AO$7:$AO$185)</f>
        <v>1</v>
      </c>
      <c r="AT11" s="24" t="s">
        <v>109</v>
      </c>
      <c r="AW11">
        <v>5</v>
      </c>
      <c r="AX11" t="s">
        <v>38</v>
      </c>
      <c r="AY11">
        <v>4</v>
      </c>
    </row>
    <row r="12" spans="1:51" x14ac:dyDescent="0.25">
      <c r="N12" t="s">
        <v>40</v>
      </c>
      <c r="O12">
        <v>1</v>
      </c>
      <c r="P12">
        <v>0</v>
      </c>
      <c r="Q12">
        <v>2</v>
      </c>
      <c r="AD12" t="s">
        <v>52</v>
      </c>
      <c r="AE12">
        <v>1</v>
      </c>
      <c r="AF12">
        <v>1</v>
      </c>
      <c r="AG12">
        <v>0</v>
      </c>
      <c r="AL12" s="24" t="str">
        <f t="shared" si="0"/>
        <v>LUIGI</v>
      </c>
      <c r="AM12" s="24" t="s">
        <v>165</v>
      </c>
      <c r="AN12" s="24">
        <v>1</v>
      </c>
      <c r="AO12" s="24">
        <v>1</v>
      </c>
      <c r="AP12" s="24" t="s">
        <v>165</v>
      </c>
      <c r="AQ12" s="24">
        <f ca="1">SUMIF($AM$7:$AM$186,"LUIGI",$AO$7:$AO$185)</f>
        <v>1</v>
      </c>
      <c r="AT12" s="24" t="s">
        <v>103</v>
      </c>
      <c r="AW12">
        <v>6</v>
      </c>
      <c r="AX12" t="s">
        <v>43</v>
      </c>
      <c r="AY12">
        <v>4</v>
      </c>
    </row>
    <row r="13" spans="1:51" x14ac:dyDescent="0.25">
      <c r="N13" t="s">
        <v>41</v>
      </c>
      <c r="O13">
        <v>1</v>
      </c>
      <c r="P13">
        <v>0</v>
      </c>
      <c r="Q13">
        <v>1</v>
      </c>
      <c r="AD13" t="s">
        <v>46</v>
      </c>
      <c r="AE13">
        <v>1</v>
      </c>
      <c r="AF13">
        <v>0</v>
      </c>
      <c r="AG13">
        <v>1</v>
      </c>
      <c r="AL13" s="24" t="str">
        <f t="shared" si="0"/>
        <v>ANDRÉ</v>
      </c>
      <c r="AM13" s="24" t="s">
        <v>166</v>
      </c>
      <c r="AN13" s="24">
        <v>1</v>
      </c>
      <c r="AO13" s="24">
        <v>1</v>
      </c>
      <c r="AP13" s="24" t="s">
        <v>166</v>
      </c>
      <c r="AQ13" s="24">
        <f ca="1">SUMIF($AM$7:$AM$186,"ANDRÉ",$AO$7:$AO$185)</f>
        <v>5</v>
      </c>
      <c r="AT13" s="24" t="s">
        <v>104</v>
      </c>
      <c r="AW13">
        <v>7</v>
      </c>
      <c r="AX13" s="24" t="s">
        <v>176</v>
      </c>
      <c r="AY13" s="24">
        <f ca="1">SUMIF($AM$7:$AM$186,"BORBA",$AO$7:$AO$185)</f>
        <v>4</v>
      </c>
    </row>
    <row r="14" spans="1:51" x14ac:dyDescent="0.25">
      <c r="N14" t="s">
        <v>42</v>
      </c>
      <c r="O14">
        <v>1</v>
      </c>
      <c r="P14">
        <v>1</v>
      </c>
      <c r="Q14">
        <v>0</v>
      </c>
      <c r="AD14" t="s">
        <v>54</v>
      </c>
      <c r="AE14">
        <v>1</v>
      </c>
      <c r="AF14">
        <v>1</v>
      </c>
      <c r="AG14">
        <v>0</v>
      </c>
      <c r="AL14" s="24" t="str">
        <f t="shared" si="0"/>
        <v>GK ARTHUR</v>
      </c>
      <c r="AM14" s="24" t="s">
        <v>186</v>
      </c>
      <c r="AN14" s="24">
        <v>1</v>
      </c>
      <c r="AO14" s="24">
        <v>1</v>
      </c>
      <c r="AP14" s="24" t="s">
        <v>186</v>
      </c>
      <c r="AQ14" s="24">
        <f ca="1">SUMIF($AM$7:$AM$186,"GK ARTHUR",$AO$7:$AO$185)</f>
        <v>2</v>
      </c>
      <c r="AT14" s="24" t="s">
        <v>118</v>
      </c>
      <c r="AW14">
        <v>8</v>
      </c>
      <c r="AX14" t="s">
        <v>163</v>
      </c>
      <c r="AY14">
        <v>3</v>
      </c>
    </row>
    <row r="15" spans="1:51" x14ac:dyDescent="0.25">
      <c r="N15" t="s">
        <v>43</v>
      </c>
      <c r="O15">
        <v>1</v>
      </c>
      <c r="P15">
        <v>0</v>
      </c>
      <c r="Q15">
        <v>1</v>
      </c>
      <c r="AL15" s="24" t="str">
        <f t="shared" si="0"/>
        <v>LEO</v>
      </c>
      <c r="AM15" s="24" t="s">
        <v>38</v>
      </c>
      <c r="AN15" s="24">
        <v>1</v>
      </c>
      <c r="AO15" s="24">
        <v>0</v>
      </c>
      <c r="AP15" s="24" t="s">
        <v>38</v>
      </c>
      <c r="AQ15" s="24">
        <f ca="1">SUMIF($AM$7:$AM$186,"LEO",$AO$7:$AO$185)</f>
        <v>4</v>
      </c>
      <c r="AT15" s="24" t="s">
        <v>97</v>
      </c>
      <c r="AW15">
        <v>9</v>
      </c>
      <c r="AX15" t="s">
        <v>167</v>
      </c>
      <c r="AY15">
        <v>3</v>
      </c>
    </row>
    <row r="16" spans="1:51" x14ac:dyDescent="0.25">
      <c r="N16" t="s">
        <v>44</v>
      </c>
      <c r="O16">
        <v>1</v>
      </c>
      <c r="P16">
        <v>1</v>
      </c>
      <c r="Q16">
        <v>0</v>
      </c>
      <c r="AL16" s="24" t="str">
        <f t="shared" si="0"/>
        <v>VITAO</v>
      </c>
      <c r="AM16" s="24" t="s">
        <v>41</v>
      </c>
      <c r="AN16" s="24">
        <v>1</v>
      </c>
      <c r="AO16" s="24">
        <v>0</v>
      </c>
      <c r="AP16" s="24" t="s">
        <v>41</v>
      </c>
      <c r="AQ16" s="24">
        <f ca="1">SUMIF($AM$7:$AM$186,"VITAO",$AO$7:$AO$185)</f>
        <v>2</v>
      </c>
      <c r="AT16" s="24" t="s">
        <v>88</v>
      </c>
      <c r="AW16">
        <v>10</v>
      </c>
      <c r="AX16" t="s">
        <v>169</v>
      </c>
      <c r="AY16">
        <v>3</v>
      </c>
    </row>
    <row r="17" spans="9:51" x14ac:dyDescent="0.25">
      <c r="AL17" s="24" t="str">
        <f t="shared" si="0"/>
        <v>NATHAN</v>
      </c>
      <c r="AM17" s="24" t="s">
        <v>167</v>
      </c>
      <c r="AN17" s="24">
        <v>1</v>
      </c>
      <c r="AO17" s="24">
        <v>0</v>
      </c>
      <c r="AP17" s="24" t="s">
        <v>167</v>
      </c>
      <c r="AQ17" s="24">
        <f ca="1">SUMIF($AM$7:$AM$186,"NATHAN",$AO$7:$AO$185)</f>
        <v>3</v>
      </c>
      <c r="AT17" s="24" t="s">
        <v>90</v>
      </c>
      <c r="AW17">
        <v>11</v>
      </c>
      <c r="AX17" s="24" t="s">
        <v>171</v>
      </c>
      <c r="AY17" s="24">
        <f ca="1">SUMIF($AM$7:$AM$186,"PHELPS",$AO$7:$AO$185)</f>
        <v>3</v>
      </c>
    </row>
    <row r="18" spans="9:51" x14ac:dyDescent="0.25">
      <c r="AL18" s="24" t="str">
        <f t="shared" si="0"/>
        <v>MATHEUS</v>
      </c>
      <c r="AM18" s="24" t="s">
        <v>42</v>
      </c>
      <c r="AN18" s="24">
        <v>1</v>
      </c>
      <c r="AO18" s="24">
        <v>0</v>
      </c>
      <c r="AP18" s="24" t="s">
        <v>42</v>
      </c>
      <c r="AQ18" s="24">
        <f ca="1">SUMIF($AM$7:$AM$186,"MATHEUS",$AO$7:$AO$185)</f>
        <v>0</v>
      </c>
      <c r="AT18" s="24" t="s">
        <v>93</v>
      </c>
      <c r="AW18">
        <v>12</v>
      </c>
      <c r="AX18" s="24" t="s">
        <v>173</v>
      </c>
      <c r="AY18" s="24">
        <f ca="1">SUMIF($AM$7:$AM$186,"HANON",$AO$7:$AO$185)</f>
        <v>3</v>
      </c>
    </row>
    <row r="19" spans="9:51" x14ac:dyDescent="0.25">
      <c r="AL19" s="24" t="str">
        <f t="shared" si="0"/>
        <v>DAVI</v>
      </c>
      <c r="AM19" s="24" t="s">
        <v>168</v>
      </c>
      <c r="AN19" s="24">
        <v>1</v>
      </c>
      <c r="AO19" s="24">
        <v>0</v>
      </c>
      <c r="AP19" s="24" t="s">
        <v>168</v>
      </c>
      <c r="AQ19" s="24">
        <f ca="1">SUMIF($AM$7:$AM$186,"DAVI",$AO$7:$AO$185)</f>
        <v>0</v>
      </c>
      <c r="AT19" s="24" t="s">
        <v>94</v>
      </c>
      <c r="AW19">
        <v>13</v>
      </c>
      <c r="AX19" t="s">
        <v>186</v>
      </c>
      <c r="AY19">
        <v>2</v>
      </c>
    </row>
    <row r="20" spans="9:51" x14ac:dyDescent="0.25">
      <c r="AL20" s="24" t="str">
        <f t="shared" si="0"/>
        <v>ENZO</v>
      </c>
      <c r="AM20" s="24" t="s">
        <v>44</v>
      </c>
      <c r="AN20" s="24">
        <v>1</v>
      </c>
      <c r="AO20" s="24">
        <v>0</v>
      </c>
      <c r="AP20" s="24" t="s">
        <v>44</v>
      </c>
      <c r="AQ20" s="24">
        <f ca="1">SUMIF($AM$7:$AM$186,"ENZO",$AO$7:$AO$185)</f>
        <v>0</v>
      </c>
      <c r="AT20" s="24" t="s">
        <v>91</v>
      </c>
      <c r="AW20">
        <v>14</v>
      </c>
      <c r="AX20" t="s">
        <v>41</v>
      </c>
      <c r="AY20">
        <v>2</v>
      </c>
    </row>
    <row r="21" spans="9:51" x14ac:dyDescent="0.25">
      <c r="AL21" s="24" t="str">
        <f t="shared" si="0"/>
        <v>GAROPA</v>
      </c>
      <c r="AM21" s="24" t="s">
        <v>43</v>
      </c>
      <c r="AN21" s="24">
        <v>1</v>
      </c>
      <c r="AO21" s="24">
        <v>0</v>
      </c>
      <c r="AP21" s="24" t="s">
        <v>43</v>
      </c>
      <c r="AQ21" s="24">
        <f ca="1">SUMIF($AM$7:$AM$186,"GAROPA",$AO$7:$AO$185)</f>
        <v>4</v>
      </c>
      <c r="AT21" s="24" t="s">
        <v>92</v>
      </c>
      <c r="AW21">
        <v>15</v>
      </c>
      <c r="AX21" s="24" t="s">
        <v>172</v>
      </c>
      <c r="AY21" s="24">
        <f ca="1">SUMIF($AM$7:$AM$186,"BALA",$AO$7:$AO$185)</f>
        <v>2</v>
      </c>
    </row>
    <row r="22" spans="9:51" x14ac:dyDescent="0.25">
      <c r="N22" s="15" t="s">
        <v>20</v>
      </c>
      <c r="O22" s="12">
        <v>2023</v>
      </c>
      <c r="P22" s="12" t="s">
        <v>29</v>
      </c>
      <c r="Q22" s="12">
        <v>3</v>
      </c>
      <c r="R22" s="13">
        <v>2</v>
      </c>
      <c r="S22" s="12" t="s">
        <v>30</v>
      </c>
      <c r="V22" s="10" t="s">
        <v>15</v>
      </c>
      <c r="W22" s="2">
        <v>2022</v>
      </c>
      <c r="X22" s="2" t="s">
        <v>27</v>
      </c>
      <c r="Y22" s="2">
        <v>4</v>
      </c>
      <c r="Z22" s="2">
        <v>5</v>
      </c>
      <c r="AA22" s="2" t="s">
        <v>28</v>
      </c>
      <c r="AL22" s="24" t="str">
        <f t="shared" si="0"/>
        <v>GK MERIZI</v>
      </c>
      <c r="AM22" s="24" t="s">
        <v>189</v>
      </c>
      <c r="AN22" s="24">
        <v>1</v>
      </c>
      <c r="AO22" s="24">
        <v>0</v>
      </c>
      <c r="AP22" s="24" t="s">
        <v>189</v>
      </c>
      <c r="AQ22" s="24">
        <f ca="1">SUMIF($AM$7:$AM$186,"GK MERIZI",$AO$7:$AO$185)</f>
        <v>0</v>
      </c>
      <c r="AT22" s="24" t="s">
        <v>111</v>
      </c>
      <c r="AW22">
        <v>16</v>
      </c>
      <c r="AX22" s="24" t="s">
        <v>175</v>
      </c>
      <c r="AY22" s="24">
        <f ca="1">SUMIF($AM$7:$AM$186,"PIETRO",$AO$7:$AO$185)</f>
        <v>2</v>
      </c>
    </row>
    <row r="23" spans="9:51" x14ac:dyDescent="0.25">
      <c r="O23" t="s">
        <v>36</v>
      </c>
      <c r="P23" t="s">
        <v>33</v>
      </c>
      <c r="Q23" t="s">
        <v>34</v>
      </c>
      <c r="W23" t="s">
        <v>36</v>
      </c>
      <c r="X23" t="s">
        <v>33</v>
      </c>
      <c r="Y23" t="s">
        <v>34</v>
      </c>
      <c r="AL23" s="29" t="str">
        <f t="shared" si="0"/>
        <v>FANTA</v>
      </c>
      <c r="AM23" s="29" t="s">
        <v>37</v>
      </c>
      <c r="AN23" s="29">
        <v>1</v>
      </c>
      <c r="AO23" s="29">
        <v>0</v>
      </c>
      <c r="AP23" s="29"/>
      <c r="AQ23" s="29">
        <f ca="1">SUMIF($AM$7:$AM$186,"FANTA",$AO$7:$AO$185)</f>
        <v>5</v>
      </c>
      <c r="AT23" s="24" t="s">
        <v>143</v>
      </c>
      <c r="AW23">
        <v>17</v>
      </c>
      <c r="AX23" s="24" t="s">
        <v>179</v>
      </c>
      <c r="AY23" s="24">
        <f ca="1">SUMIF($AM$7:$AM$186,"ZAGA",$AO$7:$AO$185)</f>
        <v>2</v>
      </c>
    </row>
    <row r="24" spans="9:51" x14ac:dyDescent="0.25">
      <c r="I24" t="s">
        <v>35</v>
      </c>
      <c r="J24">
        <v>1</v>
      </c>
      <c r="K24">
        <v>3</v>
      </c>
      <c r="L24">
        <v>0</v>
      </c>
      <c r="N24" t="s">
        <v>40</v>
      </c>
      <c r="O24">
        <v>1</v>
      </c>
      <c r="P24">
        <v>2</v>
      </c>
      <c r="Q24">
        <v>0</v>
      </c>
      <c r="V24" t="s">
        <v>51</v>
      </c>
      <c r="W24">
        <v>1</v>
      </c>
      <c r="X24">
        <v>1</v>
      </c>
      <c r="Y24">
        <v>1</v>
      </c>
      <c r="AL24" s="28" t="str">
        <f t="shared" si="0"/>
        <v>KRETZER</v>
      </c>
      <c r="AM24" s="28" t="s">
        <v>163</v>
      </c>
      <c r="AN24" s="28">
        <v>1</v>
      </c>
      <c r="AO24" s="28">
        <v>0</v>
      </c>
      <c r="AP24" s="28"/>
      <c r="AQ24" s="28">
        <f t="shared" ref="AQ24:AQ92" ca="1" si="1">SUMIF($AM$7:$AM$186,"kretzer",$AO$7:$AO$185)</f>
        <v>3</v>
      </c>
      <c r="AT24" s="24" t="s">
        <v>89</v>
      </c>
      <c r="AW24">
        <v>18</v>
      </c>
      <c r="AX24" t="s">
        <v>164</v>
      </c>
      <c r="AY24">
        <v>1</v>
      </c>
    </row>
    <row r="25" spans="9:51" x14ac:dyDescent="0.25">
      <c r="I25" t="s">
        <v>49</v>
      </c>
      <c r="J25">
        <v>1</v>
      </c>
      <c r="K25">
        <v>0</v>
      </c>
      <c r="L25">
        <v>1</v>
      </c>
      <c r="N25" t="s">
        <v>50</v>
      </c>
      <c r="O25">
        <v>1</v>
      </c>
      <c r="P25">
        <v>0</v>
      </c>
      <c r="Q25">
        <v>2</v>
      </c>
      <c r="V25" t="s">
        <v>53</v>
      </c>
      <c r="W25">
        <v>1</v>
      </c>
      <c r="Y25">
        <v>1</v>
      </c>
      <c r="AL25" s="24" t="str">
        <f>UPPER(AM25)</f>
        <v>DANILIM</v>
      </c>
      <c r="AM25" s="24" t="s">
        <v>169</v>
      </c>
      <c r="AN25" s="24">
        <v>1</v>
      </c>
      <c r="AO25" s="24">
        <v>0</v>
      </c>
      <c r="AP25" s="24" t="s">
        <v>169</v>
      </c>
      <c r="AQ25" s="24">
        <f ca="1">SUMIF($AM$7:$AM$186,"DANILIM",$AO$7:$AO$185)</f>
        <v>3</v>
      </c>
      <c r="AT25" s="24" t="s">
        <v>117</v>
      </c>
      <c r="AW25">
        <v>19</v>
      </c>
      <c r="AX25" t="s">
        <v>165</v>
      </c>
      <c r="AY25">
        <v>1</v>
      </c>
    </row>
    <row r="26" spans="9:51" x14ac:dyDescent="0.25">
      <c r="I26" t="s">
        <v>49</v>
      </c>
      <c r="J26">
        <v>1</v>
      </c>
      <c r="K26">
        <v>1</v>
      </c>
      <c r="L26">
        <v>0</v>
      </c>
      <c r="N26" t="s">
        <v>47</v>
      </c>
      <c r="O26">
        <v>1</v>
      </c>
      <c r="P26">
        <v>1</v>
      </c>
      <c r="V26" t="s">
        <v>49</v>
      </c>
      <c r="W26">
        <v>1</v>
      </c>
      <c r="X26">
        <v>1</v>
      </c>
      <c r="Y26">
        <v>1</v>
      </c>
      <c r="AL26" s="24" t="str">
        <f>UPPER(AM26)</f>
        <v>HENRIQUE</v>
      </c>
      <c r="AM26" s="24" t="s">
        <v>170</v>
      </c>
      <c r="AN26" s="24">
        <v>1</v>
      </c>
      <c r="AO26" s="24">
        <v>0</v>
      </c>
      <c r="AP26" s="24" t="s">
        <v>170</v>
      </c>
      <c r="AQ26" s="24">
        <f ca="1">SUMIF($AM$7:$AM$186,"HENRIQUE",$AO$7:$AO$185)</f>
        <v>1</v>
      </c>
      <c r="AT26" s="24" t="s">
        <v>129</v>
      </c>
      <c r="AW26">
        <v>20</v>
      </c>
      <c r="AX26" t="s">
        <v>170</v>
      </c>
      <c r="AY26">
        <v>1</v>
      </c>
    </row>
    <row r="27" spans="9:51" x14ac:dyDescent="0.25">
      <c r="I27" t="s">
        <v>49</v>
      </c>
      <c r="J27">
        <v>1</v>
      </c>
      <c r="K27">
        <v>1</v>
      </c>
      <c r="L27">
        <v>1</v>
      </c>
      <c r="N27" t="s">
        <v>46</v>
      </c>
      <c r="O27">
        <v>1</v>
      </c>
      <c r="Q27">
        <v>2</v>
      </c>
      <c r="V27" t="s">
        <v>46</v>
      </c>
      <c r="W27">
        <v>1</v>
      </c>
      <c r="X27">
        <v>2</v>
      </c>
      <c r="Y27">
        <v>2</v>
      </c>
      <c r="AL27" s="28" t="str">
        <f t="shared" si="0"/>
        <v>VITAO</v>
      </c>
      <c r="AM27" s="28" t="s">
        <v>41</v>
      </c>
      <c r="AN27" s="28">
        <v>1</v>
      </c>
      <c r="AO27" s="28">
        <v>0</v>
      </c>
      <c r="AP27" s="28"/>
      <c r="AQ27" s="28">
        <f t="shared" ca="1" si="1"/>
        <v>3</v>
      </c>
      <c r="AT27" s="24" t="s">
        <v>100</v>
      </c>
      <c r="AW27">
        <v>21</v>
      </c>
      <c r="AX27" s="24" t="s">
        <v>174</v>
      </c>
      <c r="AY27" s="24">
        <f ca="1">SUMIF($AM$7:$AM$186,"GORDO",$AO$7:$AO$185)</f>
        <v>1</v>
      </c>
    </row>
    <row r="28" spans="9:51" x14ac:dyDescent="0.25">
      <c r="I28" t="s">
        <v>49</v>
      </c>
      <c r="J28">
        <v>1</v>
      </c>
      <c r="K28">
        <v>0</v>
      </c>
      <c r="L28">
        <v>0</v>
      </c>
      <c r="N28" t="s">
        <v>48</v>
      </c>
      <c r="O28">
        <v>1</v>
      </c>
      <c r="P28">
        <v>1</v>
      </c>
      <c r="V28" t="s">
        <v>54</v>
      </c>
      <c r="W28">
        <v>1</v>
      </c>
      <c r="X28">
        <v>1</v>
      </c>
      <c r="Y28">
        <v>1</v>
      </c>
      <c r="AL28" s="28" t="str">
        <f t="shared" si="0"/>
        <v>ANDRÉ</v>
      </c>
      <c r="AM28" s="28" t="s">
        <v>166</v>
      </c>
      <c r="AN28" s="28">
        <v>1</v>
      </c>
      <c r="AO28" s="28">
        <v>0</v>
      </c>
      <c r="AP28" s="28"/>
      <c r="AQ28" s="28">
        <f t="shared" ca="1" si="1"/>
        <v>3</v>
      </c>
      <c r="AT28" s="24" t="s">
        <v>105</v>
      </c>
      <c r="AW28">
        <v>22</v>
      </c>
      <c r="AX28" s="24" t="s">
        <v>178</v>
      </c>
      <c r="AY28" s="24">
        <f ca="1">SUMIF($AM$7:$AM$186,"PROBST",$AO$7:$AO$185)</f>
        <v>1</v>
      </c>
    </row>
    <row r="29" spans="9:51" x14ac:dyDescent="0.25">
      <c r="J29">
        <f>SUM(J24:J28)</f>
        <v>5</v>
      </c>
      <c r="K29">
        <f>SUM(K24:K28)</f>
        <v>5</v>
      </c>
      <c r="L29">
        <f>SUM(L24:L28)</f>
        <v>2</v>
      </c>
      <c r="N29" t="s">
        <v>49</v>
      </c>
      <c r="O29">
        <v>1</v>
      </c>
      <c r="P29">
        <v>1</v>
      </c>
      <c r="Q29">
        <v>0</v>
      </c>
      <c r="V29" t="s">
        <v>52</v>
      </c>
      <c r="W29">
        <v>1</v>
      </c>
      <c r="X29">
        <v>2</v>
      </c>
      <c r="Y29">
        <v>0</v>
      </c>
      <c r="AL29" s="24" t="str">
        <f>UPPER(AM29)</f>
        <v>PHELPS</v>
      </c>
      <c r="AM29" s="24" t="s">
        <v>171</v>
      </c>
      <c r="AN29" s="24">
        <v>1</v>
      </c>
      <c r="AO29" s="24">
        <v>0</v>
      </c>
      <c r="AP29" s="24" t="s">
        <v>171</v>
      </c>
      <c r="AQ29" s="24">
        <f ca="1">SUMIF($AM$7:$AM$186,"PHELPS",$AO$7:$AO$185)</f>
        <v>3</v>
      </c>
      <c r="AT29" s="24" t="s">
        <v>106</v>
      </c>
      <c r="AW29">
        <v>23</v>
      </c>
      <c r="AX29" s="24" t="s">
        <v>191</v>
      </c>
      <c r="AY29" s="24">
        <f ca="1">SUMIF($AM$7:$AM$186,"GK CORREA",$AO$7:$AO$185)</f>
        <v>1</v>
      </c>
    </row>
    <row r="30" spans="9:51" x14ac:dyDescent="0.25">
      <c r="V30" t="s">
        <v>55</v>
      </c>
      <c r="W30">
        <v>1</v>
      </c>
      <c r="X30">
        <v>1</v>
      </c>
      <c r="Y30">
        <v>0</v>
      </c>
      <c r="AL30" s="28" t="str">
        <f t="shared" si="0"/>
        <v>LEO</v>
      </c>
      <c r="AM30" s="28" t="s">
        <v>38</v>
      </c>
      <c r="AN30" s="28">
        <v>1</v>
      </c>
      <c r="AO30" s="28">
        <v>0</v>
      </c>
      <c r="AP30" s="28"/>
      <c r="AQ30" s="28">
        <f t="shared" ca="1" si="1"/>
        <v>3</v>
      </c>
      <c r="AT30" s="24" t="s">
        <v>107</v>
      </c>
      <c r="AW30">
        <v>24</v>
      </c>
      <c r="AX30" s="24" t="s">
        <v>192</v>
      </c>
      <c r="AY30" s="24">
        <f ca="1">SUMIF($AM$7:$AM$186,"GK MARUCCO",$AO$7:$AO$185)</f>
        <v>1</v>
      </c>
    </row>
    <row r="31" spans="9:51" x14ac:dyDescent="0.25">
      <c r="V31" t="s">
        <v>48</v>
      </c>
      <c r="W31">
        <v>1</v>
      </c>
      <c r="X31">
        <v>1</v>
      </c>
      <c r="Y31">
        <v>0</v>
      </c>
      <c r="AL31" s="24" t="str">
        <f>UPPER(AM31)</f>
        <v>BALA</v>
      </c>
      <c r="AM31" s="24" t="s">
        <v>172</v>
      </c>
      <c r="AN31" s="24">
        <v>1</v>
      </c>
      <c r="AO31" s="24">
        <v>0</v>
      </c>
      <c r="AP31" s="24" t="s">
        <v>172</v>
      </c>
      <c r="AQ31" s="24">
        <f ca="1">SUMIF($AM$7:$AM$186,"BALA",$AO$7:$AO$185)</f>
        <v>2</v>
      </c>
      <c r="AT31" s="24" t="s">
        <v>139</v>
      </c>
      <c r="AW31">
        <v>25</v>
      </c>
      <c r="AX31" s="24" t="s">
        <v>185</v>
      </c>
      <c r="AY31" s="24">
        <f ca="1">SUMIF($AM$7:$AM$186,"MINI DEREK",$AO$7:$AO$185)</f>
        <v>1</v>
      </c>
    </row>
    <row r="32" spans="9:51" x14ac:dyDescent="0.25">
      <c r="AL32" s="24" t="str">
        <f>UPPER(AM32)</f>
        <v>HANON</v>
      </c>
      <c r="AM32" s="24" t="s">
        <v>173</v>
      </c>
      <c r="AN32" s="24">
        <v>1</v>
      </c>
      <c r="AO32" s="24">
        <v>0</v>
      </c>
      <c r="AP32" s="24" t="s">
        <v>173</v>
      </c>
      <c r="AQ32" s="24">
        <f ca="1">SUMIF($AM$7:$AM$186,"HANON",$AO$7:$AO$185)</f>
        <v>3</v>
      </c>
      <c r="AT32" s="24" t="s">
        <v>95</v>
      </c>
      <c r="AW32">
        <v>26</v>
      </c>
      <c r="AX32" t="s">
        <v>42</v>
      </c>
      <c r="AY32">
        <v>0</v>
      </c>
    </row>
    <row r="33" spans="2:51" x14ac:dyDescent="0.25">
      <c r="AL33" s="24" t="str">
        <f>UPPER(AM33)</f>
        <v>GK JOAO</v>
      </c>
      <c r="AM33" s="24" t="s">
        <v>190</v>
      </c>
      <c r="AN33" s="24">
        <v>1</v>
      </c>
      <c r="AO33" s="24">
        <v>0</v>
      </c>
      <c r="AP33" s="24" t="s">
        <v>190</v>
      </c>
      <c r="AQ33" s="24">
        <f ca="1">SUMIF($AM$7:$AM$186,"GK JOAO",$AO$7:$AO$185)</f>
        <v>0</v>
      </c>
      <c r="AT33" s="24" t="s">
        <v>140</v>
      </c>
      <c r="AW33">
        <v>27</v>
      </c>
      <c r="AX33" t="s">
        <v>168</v>
      </c>
      <c r="AY33">
        <v>0</v>
      </c>
    </row>
    <row r="34" spans="2:51" x14ac:dyDescent="0.25">
      <c r="AL34" s="28" t="str">
        <f t="shared" si="0"/>
        <v>LETTI</v>
      </c>
      <c r="AM34" s="28" t="s">
        <v>35</v>
      </c>
      <c r="AN34" s="28">
        <v>1</v>
      </c>
      <c r="AO34" s="28">
        <v>1</v>
      </c>
      <c r="AP34" s="28"/>
      <c r="AQ34" s="28">
        <f t="shared" ca="1" si="1"/>
        <v>3</v>
      </c>
      <c r="AT34" s="24" t="s">
        <v>141</v>
      </c>
      <c r="AW34">
        <v>28</v>
      </c>
      <c r="AX34" t="s">
        <v>44</v>
      </c>
      <c r="AY34">
        <v>0</v>
      </c>
    </row>
    <row r="35" spans="2:51" x14ac:dyDescent="0.25">
      <c r="I35" s="10" t="s">
        <v>15</v>
      </c>
      <c r="J35" s="2">
        <v>2022</v>
      </c>
      <c r="K35" s="2" t="s">
        <v>27</v>
      </c>
      <c r="L35" s="2">
        <v>4</v>
      </c>
      <c r="M35" s="2">
        <v>5</v>
      </c>
      <c r="N35" s="2" t="s">
        <v>28</v>
      </c>
      <c r="O35" s="4">
        <f>N57/L35</f>
        <v>0</v>
      </c>
      <c r="P35" s="4" t="s">
        <v>14</v>
      </c>
      <c r="AL35" s="24" t="str">
        <f>UPPER(AM35)</f>
        <v>GORDO</v>
      </c>
      <c r="AM35" s="24" t="s">
        <v>174</v>
      </c>
      <c r="AN35" s="24">
        <v>1</v>
      </c>
      <c r="AO35" s="24">
        <v>1</v>
      </c>
      <c r="AP35" s="24" t="s">
        <v>174</v>
      </c>
      <c r="AQ35" s="24">
        <f ca="1">SUMIF($AM$7:$AM$186,"GORDO",$AO$7:$AO$185)</f>
        <v>1</v>
      </c>
      <c r="AT35" s="24" t="s">
        <v>142</v>
      </c>
      <c r="AW35">
        <v>29</v>
      </c>
      <c r="AX35" t="s">
        <v>189</v>
      </c>
      <c r="AY35">
        <v>0</v>
      </c>
    </row>
    <row r="36" spans="2:51" x14ac:dyDescent="0.25">
      <c r="AL36" s="28" t="str">
        <f t="shared" si="0"/>
        <v>GAROPA</v>
      </c>
      <c r="AM36" s="28" t="s">
        <v>43</v>
      </c>
      <c r="AN36" s="28">
        <v>1</v>
      </c>
      <c r="AO36" s="28">
        <v>1</v>
      </c>
      <c r="AP36" s="28"/>
      <c r="AQ36" s="28">
        <f t="shared" ca="1" si="1"/>
        <v>3</v>
      </c>
      <c r="AW36">
        <v>30</v>
      </c>
      <c r="AX36" s="24" t="s">
        <v>190</v>
      </c>
      <c r="AY36" s="24">
        <f ca="1">SUMIF($AM$7:$AM$186,"GK JOAO",$AO$7:$AO$185)</f>
        <v>0</v>
      </c>
    </row>
    <row r="37" spans="2:51" x14ac:dyDescent="0.25">
      <c r="B37" s="39" t="s">
        <v>204</v>
      </c>
      <c r="C37" s="21">
        <v>2026</v>
      </c>
      <c r="D37" s="21" t="s">
        <v>241</v>
      </c>
      <c r="E37" s="21">
        <v>1</v>
      </c>
      <c r="F37" s="22">
        <v>1</v>
      </c>
      <c r="G37" s="21" t="s">
        <v>240</v>
      </c>
      <c r="H37" s="70" t="s">
        <v>14</v>
      </c>
      <c r="I37" s="70"/>
      <c r="AL37" s="28" t="str">
        <f t="shared" si="0"/>
        <v>GLAUBER</v>
      </c>
      <c r="AM37" s="28" t="s">
        <v>40</v>
      </c>
      <c r="AN37" s="28">
        <v>1</v>
      </c>
      <c r="AO37" s="28">
        <v>1</v>
      </c>
      <c r="AP37" s="28"/>
      <c r="AQ37" s="28">
        <f t="shared" ca="1" si="1"/>
        <v>3</v>
      </c>
    </row>
    <row r="38" spans="2:51" x14ac:dyDescent="0.25">
      <c r="C38" t="s">
        <v>115</v>
      </c>
      <c r="D38" t="s">
        <v>85</v>
      </c>
      <c r="E38" t="s">
        <v>86</v>
      </c>
      <c r="F38" t="s">
        <v>87</v>
      </c>
      <c r="G38" t="s">
        <v>145</v>
      </c>
      <c r="AL38" s="24" t="str">
        <f t="shared" si="0"/>
        <v>PIETRO</v>
      </c>
      <c r="AM38" s="24" t="s">
        <v>175</v>
      </c>
      <c r="AN38" s="24">
        <v>0</v>
      </c>
      <c r="AO38" s="24"/>
      <c r="AP38" s="24" t="s">
        <v>175</v>
      </c>
      <c r="AQ38" s="24">
        <f ca="1">SUMIF($AM$7:$AM$186,"PIETRO",$AO$7:$AO$185)</f>
        <v>2</v>
      </c>
    </row>
    <row r="39" spans="2:51" x14ac:dyDescent="0.25">
      <c r="C39" t="s">
        <v>128</v>
      </c>
      <c r="D39">
        <v>1</v>
      </c>
      <c r="E39">
        <v>0</v>
      </c>
      <c r="F39">
        <v>0</v>
      </c>
      <c r="G39">
        <v>1</v>
      </c>
      <c r="AL39" s="24"/>
      <c r="AM39" s="24"/>
      <c r="AN39" s="24"/>
      <c r="AO39" s="24"/>
      <c r="AP39" s="24"/>
      <c r="AQ39" s="24"/>
    </row>
    <row r="40" spans="2:51" x14ac:dyDescent="0.25">
      <c r="C40" t="s">
        <v>228</v>
      </c>
      <c r="D40">
        <v>0</v>
      </c>
      <c r="E40">
        <v>0</v>
      </c>
      <c r="F40">
        <v>0</v>
      </c>
      <c r="G40">
        <v>0</v>
      </c>
      <c r="AL40" s="24"/>
      <c r="AM40" s="24"/>
      <c r="AN40" s="24"/>
      <c r="AO40" s="24"/>
      <c r="AP40" s="24"/>
      <c r="AQ40" s="24"/>
    </row>
    <row r="41" spans="2:51" x14ac:dyDescent="0.25">
      <c r="C41" t="s">
        <v>55</v>
      </c>
      <c r="D41">
        <v>1</v>
      </c>
      <c r="E41">
        <v>0</v>
      </c>
      <c r="F41">
        <v>0</v>
      </c>
      <c r="G41">
        <v>1</v>
      </c>
      <c r="AL41" s="24"/>
      <c r="AM41" s="24"/>
      <c r="AN41" s="24"/>
      <c r="AO41" s="24"/>
      <c r="AP41" s="24"/>
      <c r="AQ41" s="24"/>
    </row>
    <row r="42" spans="2:51" x14ac:dyDescent="0.25">
      <c r="C42" t="s">
        <v>51</v>
      </c>
      <c r="D42">
        <v>1</v>
      </c>
      <c r="E42">
        <v>1</v>
      </c>
      <c r="F42">
        <v>1</v>
      </c>
      <c r="G42">
        <v>1</v>
      </c>
      <c r="AL42" s="24"/>
      <c r="AM42" s="24"/>
      <c r="AN42" s="24"/>
      <c r="AO42" s="24"/>
      <c r="AP42" s="24"/>
      <c r="AQ42" s="24"/>
    </row>
    <row r="43" spans="2:51" x14ac:dyDescent="0.25">
      <c r="C43" t="s">
        <v>229</v>
      </c>
      <c r="D43">
        <v>0</v>
      </c>
      <c r="E43">
        <v>0</v>
      </c>
      <c r="F43">
        <v>0</v>
      </c>
      <c r="G43">
        <v>0</v>
      </c>
      <c r="AL43" s="24"/>
      <c r="AM43" s="24"/>
      <c r="AN43" s="24"/>
      <c r="AO43" s="24"/>
      <c r="AP43" s="24"/>
      <c r="AQ43" s="24"/>
    </row>
    <row r="44" spans="2:51" x14ac:dyDescent="0.25">
      <c r="C44" t="s">
        <v>48</v>
      </c>
      <c r="D44">
        <v>1</v>
      </c>
      <c r="E44">
        <v>1</v>
      </c>
      <c r="F44">
        <v>0</v>
      </c>
      <c r="G44">
        <v>1</v>
      </c>
      <c r="AL44" s="24"/>
      <c r="AM44" s="24"/>
      <c r="AN44" s="24"/>
      <c r="AO44" s="24"/>
      <c r="AP44" s="24"/>
      <c r="AQ44" s="24"/>
    </row>
    <row r="45" spans="2:51" x14ac:dyDescent="0.25">
      <c r="C45" t="s">
        <v>49</v>
      </c>
      <c r="D45">
        <v>1</v>
      </c>
      <c r="E45">
        <v>0</v>
      </c>
      <c r="F45">
        <v>1</v>
      </c>
      <c r="G45">
        <v>1</v>
      </c>
      <c r="AL45" s="24"/>
      <c r="AM45" s="24"/>
      <c r="AN45" s="24"/>
      <c r="AO45" s="24"/>
      <c r="AP45" s="24"/>
      <c r="AQ45" s="24"/>
    </row>
    <row r="46" spans="2:51" x14ac:dyDescent="0.25">
      <c r="C46" t="s">
        <v>94</v>
      </c>
      <c r="D46">
        <v>1</v>
      </c>
      <c r="E46">
        <v>0</v>
      </c>
      <c r="F46">
        <v>0</v>
      </c>
      <c r="G46">
        <v>1</v>
      </c>
      <c r="AL46" s="24"/>
      <c r="AM46" s="24"/>
      <c r="AN46" s="24"/>
      <c r="AO46" s="24"/>
      <c r="AP46" s="24"/>
      <c r="AQ46" s="24"/>
    </row>
    <row r="47" spans="2:51" x14ac:dyDescent="0.25">
      <c r="C47" t="s">
        <v>144</v>
      </c>
      <c r="D47">
        <v>1</v>
      </c>
      <c r="E47">
        <v>0</v>
      </c>
      <c r="F47">
        <v>0</v>
      </c>
      <c r="G47">
        <v>1</v>
      </c>
      <c r="AL47" s="24"/>
      <c r="AM47" s="24"/>
      <c r="AN47" s="24"/>
      <c r="AO47" s="24"/>
      <c r="AP47" s="24"/>
      <c r="AQ47" s="24"/>
    </row>
    <row r="48" spans="2:51" x14ac:dyDescent="0.25">
      <c r="C48" t="s">
        <v>205</v>
      </c>
      <c r="D48">
        <v>1</v>
      </c>
      <c r="E48">
        <v>0</v>
      </c>
      <c r="F48">
        <v>0</v>
      </c>
      <c r="G48">
        <v>0</v>
      </c>
      <c r="AL48" s="24"/>
      <c r="AM48" s="24"/>
      <c r="AN48" s="24"/>
      <c r="AO48" s="24"/>
      <c r="AP48" s="24"/>
      <c r="AQ48" s="24"/>
    </row>
    <row r="49" spans="1:43" x14ac:dyDescent="0.25">
      <c r="AL49" s="24"/>
      <c r="AM49" s="24"/>
      <c r="AN49" s="24"/>
      <c r="AO49" s="24"/>
      <c r="AP49" s="24"/>
      <c r="AQ49" s="24"/>
    </row>
    <row r="50" spans="1:43" x14ac:dyDescent="0.25">
      <c r="B50" s="39" t="s">
        <v>204</v>
      </c>
      <c r="C50" s="21">
        <v>2026</v>
      </c>
      <c r="D50" s="21" t="s">
        <v>241</v>
      </c>
      <c r="E50" s="21">
        <v>1</v>
      </c>
      <c r="F50" s="22">
        <v>1</v>
      </c>
      <c r="G50" s="21" t="s">
        <v>240</v>
      </c>
      <c r="H50" s="70" t="s">
        <v>14</v>
      </c>
      <c r="I50" s="70"/>
      <c r="AL50" s="24"/>
      <c r="AM50" s="24"/>
      <c r="AN50" s="24"/>
      <c r="AO50" s="24"/>
      <c r="AP50" s="24"/>
      <c r="AQ50" s="24"/>
    </row>
    <row r="51" spans="1:43" x14ac:dyDescent="0.25">
      <c r="C51" t="s">
        <v>115</v>
      </c>
      <c r="D51" t="s">
        <v>85</v>
      </c>
      <c r="E51" t="s">
        <v>86</v>
      </c>
      <c r="F51" t="s">
        <v>87</v>
      </c>
      <c r="G51" t="s">
        <v>145</v>
      </c>
      <c r="AL51" s="24"/>
      <c r="AM51" s="24"/>
      <c r="AN51" s="24"/>
      <c r="AO51" s="24"/>
      <c r="AP51" s="24"/>
      <c r="AQ51" s="24"/>
    </row>
    <row r="52" spans="1:43" x14ac:dyDescent="0.25">
      <c r="C52" t="s">
        <v>139</v>
      </c>
      <c r="D52">
        <v>1</v>
      </c>
      <c r="E52">
        <v>0</v>
      </c>
      <c r="F52">
        <v>0</v>
      </c>
      <c r="G52">
        <v>0</v>
      </c>
      <c r="AL52" s="24"/>
      <c r="AM52" s="24"/>
      <c r="AN52" s="24"/>
      <c r="AO52" s="24"/>
      <c r="AP52" s="24"/>
      <c r="AQ52" s="24"/>
    </row>
    <row r="53" spans="1:43" x14ac:dyDescent="0.25">
      <c r="C53" t="s">
        <v>230</v>
      </c>
      <c r="D53">
        <v>1</v>
      </c>
      <c r="E53">
        <v>0</v>
      </c>
      <c r="F53">
        <v>0</v>
      </c>
      <c r="G53">
        <v>0</v>
      </c>
      <c r="AL53" s="24"/>
      <c r="AM53" s="24"/>
      <c r="AN53" s="24"/>
      <c r="AO53" s="24"/>
      <c r="AP53" s="24"/>
      <c r="AQ53" s="24"/>
    </row>
    <row r="54" spans="1:43" x14ac:dyDescent="0.25">
      <c r="C54" t="s">
        <v>56</v>
      </c>
      <c r="D54">
        <v>1</v>
      </c>
      <c r="E54">
        <v>0</v>
      </c>
      <c r="F54">
        <v>0</v>
      </c>
      <c r="G54">
        <v>0</v>
      </c>
      <c r="AL54" s="24"/>
      <c r="AM54" s="24"/>
      <c r="AN54" s="24"/>
      <c r="AO54" s="24"/>
      <c r="AP54" s="24"/>
      <c r="AQ54" s="24"/>
    </row>
    <row r="55" spans="1:43" x14ac:dyDescent="0.25">
      <c r="C55" t="s">
        <v>58</v>
      </c>
      <c r="D55">
        <v>1</v>
      </c>
      <c r="E55">
        <v>0</v>
      </c>
      <c r="F55">
        <v>0</v>
      </c>
      <c r="G55">
        <v>0</v>
      </c>
      <c r="AL55" s="24"/>
      <c r="AM55" s="24"/>
      <c r="AN55" s="24"/>
      <c r="AO55" s="24"/>
      <c r="AP55" s="24"/>
      <c r="AQ55" s="24"/>
    </row>
    <row r="56" spans="1:43" x14ac:dyDescent="0.25">
      <c r="C56" t="s">
        <v>52</v>
      </c>
      <c r="D56">
        <v>1</v>
      </c>
      <c r="E56">
        <v>0</v>
      </c>
      <c r="F56">
        <v>1</v>
      </c>
      <c r="G56">
        <v>0</v>
      </c>
      <c r="AL56" s="24"/>
      <c r="AM56" s="24"/>
      <c r="AN56" s="24"/>
      <c r="AO56" s="24"/>
      <c r="AP56" s="24"/>
      <c r="AQ56" s="24"/>
    </row>
    <row r="57" spans="1:43" x14ac:dyDescent="0.25">
      <c r="C57" t="s">
        <v>46</v>
      </c>
      <c r="D57">
        <v>1</v>
      </c>
      <c r="E57">
        <v>1</v>
      </c>
      <c r="F57">
        <v>0</v>
      </c>
      <c r="G57">
        <v>0</v>
      </c>
      <c r="AL57" s="28" t="str">
        <f t="shared" si="0"/>
        <v>NATHAN</v>
      </c>
      <c r="AM57" s="28" t="s">
        <v>167</v>
      </c>
      <c r="AN57" s="28">
        <v>1</v>
      </c>
      <c r="AO57" s="28">
        <v>1</v>
      </c>
      <c r="AP57" s="28"/>
      <c r="AQ57" s="28">
        <f t="shared" ca="1" si="1"/>
        <v>3</v>
      </c>
    </row>
    <row r="58" spans="1:43" x14ac:dyDescent="0.25">
      <c r="C58" t="s">
        <v>132</v>
      </c>
      <c r="D58">
        <v>1</v>
      </c>
      <c r="E58">
        <v>0</v>
      </c>
      <c r="F58">
        <v>0</v>
      </c>
      <c r="G58">
        <v>0</v>
      </c>
      <c r="AL58" s="24" t="str">
        <f t="shared" si="0"/>
        <v>BORBA</v>
      </c>
      <c r="AM58" s="24" t="s">
        <v>176</v>
      </c>
      <c r="AN58" s="24">
        <v>1</v>
      </c>
      <c r="AO58" s="24">
        <v>1</v>
      </c>
      <c r="AP58" s="24" t="s">
        <v>176</v>
      </c>
      <c r="AQ58" s="24">
        <f ca="1">SUMIF($AM$7:$AM$186,"BORBA",$AO$7:$AO$185)</f>
        <v>4</v>
      </c>
    </row>
    <row r="59" spans="1:43" x14ac:dyDescent="0.25">
      <c r="C59" t="s">
        <v>231</v>
      </c>
      <c r="D59">
        <v>0</v>
      </c>
      <c r="E59">
        <v>0</v>
      </c>
      <c r="F59">
        <v>0</v>
      </c>
      <c r="G59">
        <v>0</v>
      </c>
    </row>
    <row r="60" spans="1:43" x14ac:dyDescent="0.25">
      <c r="C60" t="s">
        <v>109</v>
      </c>
      <c r="D60">
        <v>0</v>
      </c>
      <c r="E60">
        <v>0</v>
      </c>
      <c r="F60">
        <v>0</v>
      </c>
      <c r="G60">
        <v>0</v>
      </c>
      <c r="AL60" s="24" t="str">
        <f t="shared" si="0"/>
        <v>PROBST</v>
      </c>
      <c r="AM60" s="24" t="s">
        <v>178</v>
      </c>
      <c r="AN60" s="24">
        <v>1</v>
      </c>
      <c r="AO60" s="24">
        <v>1</v>
      </c>
      <c r="AP60" s="24" t="s">
        <v>178</v>
      </c>
      <c r="AQ60" s="24">
        <f ca="1">SUMIF($AM$7:$AM$186,"PROBST",$AO$7:$AO$185)</f>
        <v>1</v>
      </c>
    </row>
    <row r="61" spans="1:43" x14ac:dyDescent="0.25">
      <c r="C61" t="s">
        <v>242</v>
      </c>
      <c r="D61">
        <v>1</v>
      </c>
      <c r="E61">
        <v>0</v>
      </c>
      <c r="F61">
        <v>0</v>
      </c>
      <c r="G61">
        <v>0</v>
      </c>
      <c r="AL61" s="24"/>
      <c r="AM61" s="24"/>
      <c r="AN61" s="24"/>
      <c r="AO61" s="24"/>
      <c r="AP61" s="24"/>
      <c r="AQ61" s="24"/>
    </row>
    <row r="62" spans="1:43" x14ac:dyDescent="0.25">
      <c r="C62" t="s">
        <v>243</v>
      </c>
      <c r="D62">
        <v>1</v>
      </c>
      <c r="E62">
        <v>0</v>
      </c>
      <c r="F62">
        <v>0</v>
      </c>
      <c r="G62">
        <v>0</v>
      </c>
      <c r="AL62" s="24"/>
      <c r="AM62" s="24"/>
      <c r="AN62" s="24"/>
      <c r="AO62" s="24"/>
      <c r="AP62" s="24"/>
      <c r="AQ62" s="24"/>
    </row>
    <row r="63" spans="1:43" x14ac:dyDescent="0.25">
      <c r="AL63" s="29" t="str">
        <f t="shared" si="0"/>
        <v>GK ARTHUR</v>
      </c>
      <c r="AM63" s="29" t="s">
        <v>186</v>
      </c>
      <c r="AN63" s="29">
        <v>1</v>
      </c>
      <c r="AO63" s="29">
        <v>1</v>
      </c>
      <c r="AP63" s="29"/>
      <c r="AQ63" s="29">
        <f ca="1">SUMIF($AM$7:$AM$186,"GK ARTHUR",$AO$7:$AO$185)</f>
        <v>2</v>
      </c>
    </row>
    <row r="64" spans="1:43" x14ac:dyDescent="0.25">
      <c r="A64" s="20" t="s">
        <v>198</v>
      </c>
      <c r="B64" s="21">
        <v>2025</v>
      </c>
      <c r="C64" s="21" t="s">
        <v>194</v>
      </c>
      <c r="D64" s="21">
        <v>3</v>
      </c>
      <c r="E64" s="22">
        <v>0</v>
      </c>
      <c r="F64" s="21" t="s">
        <v>199</v>
      </c>
      <c r="G64" s="70" t="s">
        <v>14</v>
      </c>
      <c r="H64" s="70"/>
      <c r="I64" s="20" t="s">
        <v>204</v>
      </c>
      <c r="J64" s="21">
        <v>2025</v>
      </c>
      <c r="K64" s="21" t="s">
        <v>194</v>
      </c>
      <c r="L64" s="21">
        <v>3</v>
      </c>
      <c r="M64" s="22">
        <v>2</v>
      </c>
      <c r="N64" s="21" t="s">
        <v>199</v>
      </c>
      <c r="O64" s="70" t="s">
        <v>14</v>
      </c>
      <c r="P64" s="70"/>
      <c r="Q64" s="39" t="s">
        <v>198</v>
      </c>
      <c r="R64" s="21">
        <v>2026</v>
      </c>
      <c r="S64" s="21" t="s">
        <v>241</v>
      </c>
      <c r="T64" s="21">
        <v>2</v>
      </c>
      <c r="U64" s="22">
        <v>3</v>
      </c>
      <c r="V64" s="21" t="s">
        <v>240</v>
      </c>
      <c r="W64" s="70" t="s">
        <v>14</v>
      </c>
      <c r="X64" s="70"/>
      <c r="AL64" s="28" t="str">
        <f t="shared" si="0"/>
        <v>FANTA</v>
      </c>
      <c r="AM64" s="28" t="s">
        <v>37</v>
      </c>
      <c r="AN64" s="28">
        <v>1</v>
      </c>
      <c r="AO64" s="28">
        <v>1</v>
      </c>
      <c r="AP64" s="28"/>
      <c r="AQ64" s="28">
        <f t="shared" ca="1" si="1"/>
        <v>3</v>
      </c>
    </row>
    <row r="65" spans="1:43" x14ac:dyDescent="0.25">
      <c r="A65" t="s">
        <v>200</v>
      </c>
      <c r="I65" t="s">
        <v>200</v>
      </c>
      <c r="R65" s="21" t="s">
        <v>227</v>
      </c>
      <c r="AL65" s="28" t="str">
        <f t="shared" si="0"/>
        <v>KRETZER</v>
      </c>
      <c r="AM65" s="28" t="s">
        <v>163</v>
      </c>
      <c r="AN65" s="28">
        <v>1</v>
      </c>
      <c r="AO65" s="28">
        <v>1</v>
      </c>
      <c r="AP65" s="28"/>
      <c r="AQ65" s="28">
        <f t="shared" ca="1" si="1"/>
        <v>3</v>
      </c>
    </row>
    <row r="66" spans="1:43" x14ac:dyDescent="0.25">
      <c r="A66" t="s">
        <v>115</v>
      </c>
      <c r="B66" t="s">
        <v>85</v>
      </c>
      <c r="C66" t="s">
        <v>86</v>
      </c>
      <c r="D66" t="s">
        <v>87</v>
      </c>
      <c r="E66" t="s">
        <v>145</v>
      </c>
      <c r="I66" t="s">
        <v>115</v>
      </c>
      <c r="J66" t="s">
        <v>85</v>
      </c>
      <c r="K66" t="s">
        <v>86</v>
      </c>
      <c r="L66" t="s">
        <v>87</v>
      </c>
      <c r="M66" t="s">
        <v>145</v>
      </c>
      <c r="R66" t="s">
        <v>115</v>
      </c>
      <c r="S66" t="s">
        <v>85</v>
      </c>
      <c r="T66" t="s">
        <v>86</v>
      </c>
      <c r="U66" t="s">
        <v>87</v>
      </c>
      <c r="V66" t="s">
        <v>145</v>
      </c>
      <c r="AL66" s="28" t="str">
        <f t="shared" si="0"/>
        <v>DANILIM</v>
      </c>
      <c r="AM66" s="28" t="s">
        <v>169</v>
      </c>
      <c r="AN66" s="28">
        <v>1</v>
      </c>
      <c r="AO66" s="28">
        <v>1</v>
      </c>
      <c r="AP66" s="28"/>
      <c r="AQ66" s="28">
        <f t="shared" ca="1" si="1"/>
        <v>3</v>
      </c>
    </row>
    <row r="67" spans="1:43" x14ac:dyDescent="0.25">
      <c r="A67" t="s">
        <v>96</v>
      </c>
      <c r="B67">
        <v>1</v>
      </c>
      <c r="C67">
        <v>0</v>
      </c>
      <c r="D67">
        <v>0</v>
      </c>
      <c r="E67">
        <v>1</v>
      </c>
      <c r="I67" t="s">
        <v>108</v>
      </c>
      <c r="J67">
        <v>1</v>
      </c>
      <c r="K67">
        <v>0</v>
      </c>
      <c r="L67">
        <v>0</v>
      </c>
      <c r="M67">
        <v>1</v>
      </c>
      <c r="R67" t="s">
        <v>128</v>
      </c>
      <c r="S67">
        <v>1</v>
      </c>
      <c r="T67">
        <v>0</v>
      </c>
      <c r="U67">
        <v>0</v>
      </c>
      <c r="V67">
        <v>0</v>
      </c>
      <c r="AL67" s="28" t="str">
        <f t="shared" si="0"/>
        <v>HENRIQUE</v>
      </c>
      <c r="AM67" s="28" t="s">
        <v>170</v>
      </c>
      <c r="AN67" s="28">
        <v>1</v>
      </c>
      <c r="AO67" s="28">
        <v>1</v>
      </c>
      <c r="AP67" s="28"/>
      <c r="AQ67" s="28">
        <f t="shared" ca="1" si="1"/>
        <v>3</v>
      </c>
    </row>
    <row r="68" spans="1:43" x14ac:dyDescent="0.25">
      <c r="A68" t="s">
        <v>98</v>
      </c>
      <c r="B68">
        <v>1</v>
      </c>
      <c r="C68">
        <v>1</v>
      </c>
      <c r="D68">
        <v>0</v>
      </c>
      <c r="E68">
        <v>1</v>
      </c>
      <c r="I68" t="s">
        <v>104</v>
      </c>
      <c r="J68">
        <v>1</v>
      </c>
      <c r="K68">
        <v>1</v>
      </c>
      <c r="L68">
        <v>0</v>
      </c>
      <c r="M68">
        <v>1</v>
      </c>
      <c r="R68" t="s">
        <v>228</v>
      </c>
      <c r="S68">
        <v>1</v>
      </c>
      <c r="T68">
        <v>0</v>
      </c>
      <c r="U68">
        <v>0</v>
      </c>
      <c r="V68">
        <v>0</v>
      </c>
      <c r="Z68" t="s">
        <v>224</v>
      </c>
      <c r="AL68" s="28" t="str">
        <f t="shared" si="0"/>
        <v>VITAO</v>
      </c>
      <c r="AM68" s="28" t="s">
        <v>41</v>
      </c>
      <c r="AN68" s="28">
        <v>1</v>
      </c>
      <c r="AO68" s="28">
        <v>1</v>
      </c>
      <c r="AP68" s="28"/>
      <c r="AQ68" s="28">
        <f t="shared" ca="1" si="1"/>
        <v>3</v>
      </c>
    </row>
    <row r="69" spans="1:43" x14ac:dyDescent="0.25">
      <c r="A69" t="s">
        <v>107</v>
      </c>
      <c r="B69">
        <v>1</v>
      </c>
      <c r="C69">
        <v>1</v>
      </c>
      <c r="D69">
        <v>1</v>
      </c>
      <c r="E69">
        <v>1</v>
      </c>
      <c r="I69" t="s">
        <v>98</v>
      </c>
      <c r="J69">
        <v>1</v>
      </c>
      <c r="K69">
        <v>1</v>
      </c>
      <c r="L69">
        <v>1</v>
      </c>
      <c r="M69">
        <v>1</v>
      </c>
      <c r="R69" t="s">
        <v>55</v>
      </c>
      <c r="S69">
        <v>1</v>
      </c>
      <c r="T69">
        <v>1</v>
      </c>
      <c r="U69">
        <v>0</v>
      </c>
      <c r="V69">
        <v>0</v>
      </c>
      <c r="Z69" t="s">
        <v>208</v>
      </c>
      <c r="AL69" s="28" t="str">
        <f t="shared" si="0"/>
        <v>ANDRÉ</v>
      </c>
      <c r="AM69" s="28" t="s">
        <v>166</v>
      </c>
      <c r="AN69" s="28">
        <v>1</v>
      </c>
      <c r="AO69" s="28">
        <v>1</v>
      </c>
      <c r="AP69" s="28"/>
      <c r="AQ69" s="28">
        <f t="shared" ca="1" si="1"/>
        <v>3</v>
      </c>
    </row>
    <row r="70" spans="1:43" x14ac:dyDescent="0.25">
      <c r="A70" t="s">
        <v>103</v>
      </c>
      <c r="B70">
        <v>1</v>
      </c>
      <c r="C70">
        <v>0</v>
      </c>
      <c r="D70">
        <v>0</v>
      </c>
      <c r="E70">
        <v>1</v>
      </c>
      <c r="I70" t="s">
        <v>107</v>
      </c>
      <c r="J70">
        <v>1</v>
      </c>
      <c r="K70">
        <v>0</v>
      </c>
      <c r="L70">
        <v>0</v>
      </c>
      <c r="M70">
        <v>1</v>
      </c>
      <c r="R70" t="s">
        <v>51</v>
      </c>
      <c r="S70">
        <v>1</v>
      </c>
      <c r="T70">
        <v>0</v>
      </c>
      <c r="U70">
        <v>0</v>
      </c>
      <c r="V70">
        <v>0</v>
      </c>
      <c r="Z70" t="s">
        <v>209</v>
      </c>
      <c r="AL70" s="28" t="str">
        <f t="shared" si="0"/>
        <v>PHELPS</v>
      </c>
      <c r="AM70" s="28" t="s">
        <v>171</v>
      </c>
      <c r="AN70" s="28">
        <v>1</v>
      </c>
      <c r="AO70" s="28">
        <v>1</v>
      </c>
      <c r="AP70" s="28"/>
      <c r="AQ70" s="28">
        <f t="shared" ca="1" si="1"/>
        <v>3</v>
      </c>
    </row>
    <row r="71" spans="1:43" x14ac:dyDescent="0.25">
      <c r="A71" t="s">
        <v>101</v>
      </c>
      <c r="B71">
        <v>1</v>
      </c>
      <c r="C71">
        <v>1</v>
      </c>
      <c r="D71">
        <v>0</v>
      </c>
      <c r="E71">
        <v>1</v>
      </c>
      <c r="I71" t="s">
        <v>94</v>
      </c>
      <c r="J71">
        <v>1</v>
      </c>
      <c r="K71">
        <v>0</v>
      </c>
      <c r="L71">
        <v>0</v>
      </c>
      <c r="M71">
        <v>1</v>
      </c>
      <c r="R71" t="s">
        <v>229</v>
      </c>
      <c r="S71">
        <v>1</v>
      </c>
      <c r="T71">
        <v>0</v>
      </c>
      <c r="U71">
        <v>0</v>
      </c>
      <c r="V71">
        <v>0</v>
      </c>
      <c r="Z71" t="s">
        <v>210</v>
      </c>
      <c r="AL71" s="28" t="str">
        <f t="shared" si="0"/>
        <v>LEO</v>
      </c>
      <c r="AM71" s="28" t="s">
        <v>38</v>
      </c>
      <c r="AN71" s="28">
        <v>1</v>
      </c>
      <c r="AO71" s="28">
        <v>1</v>
      </c>
      <c r="AP71" s="28"/>
      <c r="AQ71" s="28">
        <f t="shared" ca="1" si="1"/>
        <v>3</v>
      </c>
    </row>
    <row r="72" spans="1:43" x14ac:dyDescent="0.25">
      <c r="A72" t="s">
        <v>95</v>
      </c>
      <c r="B72">
        <v>1</v>
      </c>
      <c r="C72">
        <v>0</v>
      </c>
      <c r="D72">
        <v>0</v>
      </c>
      <c r="E72">
        <v>1</v>
      </c>
      <c r="I72" t="s">
        <v>95</v>
      </c>
      <c r="J72">
        <v>1</v>
      </c>
      <c r="K72">
        <v>0</v>
      </c>
      <c r="L72">
        <v>0</v>
      </c>
      <c r="M72">
        <v>1</v>
      </c>
      <c r="R72" t="s">
        <v>48</v>
      </c>
      <c r="S72">
        <v>1</v>
      </c>
      <c r="T72">
        <v>0</v>
      </c>
      <c r="U72">
        <v>2</v>
      </c>
      <c r="V72">
        <v>0</v>
      </c>
      <c r="Z72" t="s">
        <v>211</v>
      </c>
      <c r="AL72" s="28" t="str">
        <f t="shared" si="0"/>
        <v>BALA</v>
      </c>
      <c r="AM72" s="28" t="s">
        <v>172</v>
      </c>
      <c r="AN72" s="28">
        <v>1</v>
      </c>
      <c r="AO72" s="28">
        <v>1</v>
      </c>
      <c r="AP72" s="28"/>
      <c r="AQ72" s="28">
        <f t="shared" ca="1" si="1"/>
        <v>3</v>
      </c>
    </row>
    <row r="73" spans="1:43" x14ac:dyDescent="0.25">
      <c r="I73" t="s">
        <v>155</v>
      </c>
      <c r="J73">
        <v>1</v>
      </c>
      <c r="K73">
        <v>0</v>
      </c>
      <c r="L73">
        <v>0</v>
      </c>
      <c r="M73">
        <v>1</v>
      </c>
      <c r="R73" t="s">
        <v>49</v>
      </c>
      <c r="S73">
        <v>1</v>
      </c>
      <c r="T73">
        <v>1</v>
      </c>
      <c r="U73">
        <v>0</v>
      </c>
      <c r="V73">
        <v>0</v>
      </c>
      <c r="Z73" t="s">
        <v>212</v>
      </c>
      <c r="AL73" s="28" t="str">
        <f t="shared" si="0"/>
        <v>HANON</v>
      </c>
      <c r="AM73" s="28" t="s">
        <v>173</v>
      </c>
      <c r="AN73" s="28">
        <v>1</v>
      </c>
      <c r="AO73" s="28">
        <v>1</v>
      </c>
      <c r="AP73" s="28"/>
      <c r="AQ73" s="28">
        <f t="shared" ca="1" si="1"/>
        <v>3</v>
      </c>
    </row>
    <row r="74" spans="1:43" x14ac:dyDescent="0.25">
      <c r="I74" t="s">
        <v>103</v>
      </c>
      <c r="J74">
        <v>1</v>
      </c>
      <c r="K74">
        <v>1</v>
      </c>
      <c r="L74">
        <v>0</v>
      </c>
      <c r="M74">
        <v>1</v>
      </c>
      <c r="R74" t="s">
        <v>205</v>
      </c>
      <c r="S74">
        <v>1</v>
      </c>
      <c r="T74">
        <v>0</v>
      </c>
      <c r="U74">
        <v>0</v>
      </c>
      <c r="V74">
        <v>0</v>
      </c>
      <c r="Z74" t="s">
        <v>213</v>
      </c>
      <c r="AL74" s="24" t="str">
        <f t="shared" si="0"/>
        <v>GK CORREA</v>
      </c>
      <c r="AM74" s="24" t="s">
        <v>191</v>
      </c>
      <c r="AN74" s="24">
        <v>1</v>
      </c>
      <c r="AO74" s="24">
        <v>1</v>
      </c>
      <c r="AP74" s="24" t="s">
        <v>191</v>
      </c>
      <c r="AQ74" s="24">
        <f ca="1">SUMIF($AM$7:$AM$186,"GK CORREA",$AO$7:$AO$185)</f>
        <v>1</v>
      </c>
    </row>
    <row r="75" spans="1:43" x14ac:dyDescent="0.25">
      <c r="I75" t="s">
        <v>117</v>
      </c>
      <c r="J75">
        <v>1</v>
      </c>
      <c r="K75">
        <v>0</v>
      </c>
      <c r="L75">
        <v>0</v>
      </c>
      <c r="M75">
        <v>1</v>
      </c>
      <c r="Z75" t="s">
        <v>214</v>
      </c>
      <c r="AL75" s="28" t="str">
        <f t="shared" si="0"/>
        <v>LETTI</v>
      </c>
      <c r="AM75" s="28" t="s">
        <v>35</v>
      </c>
      <c r="AN75" s="28">
        <v>1</v>
      </c>
      <c r="AO75" s="28">
        <v>0</v>
      </c>
      <c r="AP75" s="28"/>
      <c r="AQ75" s="28">
        <f t="shared" ca="1" si="1"/>
        <v>3</v>
      </c>
    </row>
    <row r="76" spans="1:43" x14ac:dyDescent="0.25">
      <c r="A76" s="9" t="s">
        <v>199</v>
      </c>
      <c r="B76" s="9"/>
      <c r="C76" s="9"/>
      <c r="D76" s="9"/>
      <c r="E76" s="9"/>
      <c r="F76" s="9"/>
      <c r="G76" s="9"/>
      <c r="H76" s="9"/>
      <c r="I76" s="9" t="s">
        <v>199</v>
      </c>
      <c r="R76" s="21" t="s">
        <v>226</v>
      </c>
      <c r="Z76" t="s">
        <v>215</v>
      </c>
      <c r="AL76" s="28" t="str">
        <f t="shared" si="0"/>
        <v>GORDO</v>
      </c>
      <c r="AM76" s="28" t="s">
        <v>174</v>
      </c>
      <c r="AN76" s="28">
        <v>1</v>
      </c>
      <c r="AO76" s="28">
        <v>0</v>
      </c>
      <c r="AP76" s="28"/>
      <c r="AQ76" s="28">
        <f t="shared" ca="1" si="1"/>
        <v>3</v>
      </c>
    </row>
    <row r="77" spans="1:43" x14ac:dyDescent="0.25">
      <c r="A77" t="s">
        <v>115</v>
      </c>
      <c r="B77" t="s">
        <v>85</v>
      </c>
      <c r="C77" t="s">
        <v>86</v>
      </c>
      <c r="D77" t="s">
        <v>87</v>
      </c>
      <c r="I77" t="s">
        <v>115</v>
      </c>
      <c r="J77" t="s">
        <v>85</v>
      </c>
      <c r="K77" t="s">
        <v>86</v>
      </c>
      <c r="L77" t="s">
        <v>87</v>
      </c>
      <c r="R77" t="s">
        <v>115</v>
      </c>
      <c r="S77" t="s">
        <v>85</v>
      </c>
      <c r="T77" t="s">
        <v>86</v>
      </c>
      <c r="U77" t="s">
        <v>87</v>
      </c>
      <c r="V77" t="s">
        <v>145</v>
      </c>
      <c r="AL77" s="28" t="str">
        <f t="shared" si="0"/>
        <v>GAROPA</v>
      </c>
      <c r="AM77" s="28" t="s">
        <v>43</v>
      </c>
      <c r="AN77" s="28">
        <v>1</v>
      </c>
      <c r="AO77" s="28">
        <v>0</v>
      </c>
      <c r="AP77" s="28"/>
      <c r="AQ77" s="28">
        <f t="shared" ca="1" si="1"/>
        <v>3</v>
      </c>
    </row>
    <row r="78" spans="1:43" x14ac:dyDescent="0.25">
      <c r="A78" t="s">
        <v>118</v>
      </c>
      <c r="B78">
        <v>1</v>
      </c>
      <c r="C78">
        <v>0</v>
      </c>
      <c r="D78">
        <v>0</v>
      </c>
      <c r="E78">
        <v>0</v>
      </c>
      <c r="I78" t="s">
        <v>205</v>
      </c>
      <c r="J78">
        <v>1</v>
      </c>
      <c r="K78">
        <v>0</v>
      </c>
      <c r="L78">
        <v>1</v>
      </c>
      <c r="M78">
        <v>0</v>
      </c>
      <c r="R78" t="s">
        <v>108</v>
      </c>
      <c r="S78">
        <v>1</v>
      </c>
      <c r="T78">
        <v>0</v>
      </c>
      <c r="U78">
        <v>0</v>
      </c>
      <c r="V78">
        <v>1</v>
      </c>
      <c r="AL78" s="28" t="str">
        <f t="shared" si="0"/>
        <v>BERNA</v>
      </c>
      <c r="AM78" s="28" t="s">
        <v>180</v>
      </c>
      <c r="AN78" s="28">
        <v>1</v>
      </c>
      <c r="AO78" s="28">
        <v>0</v>
      </c>
      <c r="AP78" s="28"/>
      <c r="AQ78" s="28">
        <f t="shared" ca="1" si="1"/>
        <v>3</v>
      </c>
    </row>
    <row r="79" spans="1:43" x14ac:dyDescent="0.25">
      <c r="A79" t="s">
        <v>104</v>
      </c>
      <c r="B79">
        <v>1</v>
      </c>
      <c r="C79">
        <v>0</v>
      </c>
      <c r="D79">
        <v>0</v>
      </c>
      <c r="E79">
        <v>0</v>
      </c>
      <c r="I79" t="s">
        <v>144</v>
      </c>
      <c r="J79">
        <v>1</v>
      </c>
      <c r="K79">
        <v>1</v>
      </c>
      <c r="L79">
        <v>0</v>
      </c>
      <c r="M79">
        <v>0</v>
      </c>
      <c r="R79" t="s">
        <v>230</v>
      </c>
      <c r="S79">
        <v>1</v>
      </c>
      <c r="T79">
        <v>0</v>
      </c>
      <c r="U79">
        <v>0</v>
      </c>
      <c r="V79">
        <v>1</v>
      </c>
      <c r="Z79" t="s">
        <v>225</v>
      </c>
      <c r="AL79" s="28" t="str">
        <f t="shared" si="0"/>
        <v>PIETRO</v>
      </c>
      <c r="AM79" s="28" t="s">
        <v>175</v>
      </c>
      <c r="AN79" s="28">
        <v>1</v>
      </c>
      <c r="AO79" s="28">
        <v>0</v>
      </c>
      <c r="AP79" s="28"/>
      <c r="AQ79" s="28">
        <f t="shared" ca="1" si="1"/>
        <v>3</v>
      </c>
    </row>
    <row r="80" spans="1:43" x14ac:dyDescent="0.25">
      <c r="A80" t="s">
        <v>99</v>
      </c>
      <c r="B80">
        <v>1</v>
      </c>
      <c r="C80">
        <v>0</v>
      </c>
      <c r="D80">
        <v>0</v>
      </c>
      <c r="E80">
        <v>0</v>
      </c>
      <c r="I80" t="s">
        <v>96</v>
      </c>
      <c r="J80">
        <v>1</v>
      </c>
      <c r="K80">
        <v>1</v>
      </c>
      <c r="L80">
        <v>0</v>
      </c>
      <c r="M80">
        <v>0</v>
      </c>
      <c r="R80" t="s">
        <v>56</v>
      </c>
      <c r="S80">
        <v>1</v>
      </c>
      <c r="T80">
        <v>0</v>
      </c>
      <c r="U80">
        <v>0</v>
      </c>
      <c r="V80">
        <v>1</v>
      </c>
      <c r="Z80" t="s">
        <v>216</v>
      </c>
      <c r="AL80" s="28" t="str">
        <f t="shared" si="0"/>
        <v>NATHAN</v>
      </c>
      <c r="AM80" s="28" t="s">
        <v>167</v>
      </c>
      <c r="AN80" s="28">
        <v>1</v>
      </c>
      <c r="AO80" s="28">
        <v>0</v>
      </c>
      <c r="AP80" s="28"/>
      <c r="AQ80" s="28">
        <f t="shared" ca="1" si="1"/>
        <v>3</v>
      </c>
    </row>
    <row r="81" spans="1:43" x14ac:dyDescent="0.25">
      <c r="A81" t="s">
        <v>129</v>
      </c>
      <c r="B81">
        <v>1</v>
      </c>
      <c r="C81">
        <v>0</v>
      </c>
      <c r="D81">
        <v>0</v>
      </c>
      <c r="E81">
        <v>0</v>
      </c>
      <c r="I81" t="s">
        <v>99</v>
      </c>
      <c r="J81">
        <v>1</v>
      </c>
      <c r="K81">
        <v>0</v>
      </c>
      <c r="L81">
        <v>1</v>
      </c>
      <c r="M81">
        <v>0</v>
      </c>
      <c r="R81" t="s">
        <v>58</v>
      </c>
      <c r="S81">
        <v>1</v>
      </c>
      <c r="T81">
        <v>0</v>
      </c>
      <c r="U81">
        <v>1</v>
      </c>
      <c r="V81">
        <v>1</v>
      </c>
      <c r="Z81" t="s">
        <v>217</v>
      </c>
      <c r="AL81" s="28" t="str">
        <f t="shared" si="0"/>
        <v>BORBA</v>
      </c>
      <c r="AM81" s="28" t="s">
        <v>176</v>
      </c>
      <c r="AN81" s="28">
        <v>0</v>
      </c>
      <c r="AO81" s="28">
        <v>0</v>
      </c>
      <c r="AP81" s="28"/>
      <c r="AQ81" s="28">
        <f t="shared" ca="1" si="1"/>
        <v>3</v>
      </c>
    </row>
    <row r="82" spans="1:43" x14ac:dyDescent="0.25">
      <c r="A82" t="s">
        <v>92</v>
      </c>
      <c r="B82">
        <v>1</v>
      </c>
      <c r="C82">
        <v>0</v>
      </c>
      <c r="D82">
        <v>0</v>
      </c>
      <c r="E82">
        <v>0</v>
      </c>
      <c r="I82" t="s">
        <v>129</v>
      </c>
      <c r="J82">
        <v>1</v>
      </c>
      <c r="K82">
        <v>0</v>
      </c>
      <c r="L82">
        <v>0</v>
      </c>
      <c r="M82">
        <v>0</v>
      </c>
      <c r="R82" t="s">
        <v>52</v>
      </c>
      <c r="S82">
        <v>1</v>
      </c>
      <c r="T82">
        <v>1</v>
      </c>
      <c r="U82">
        <v>0</v>
      </c>
      <c r="V82">
        <v>1</v>
      </c>
      <c r="Z82" t="s">
        <v>218</v>
      </c>
      <c r="AL82" s="28" t="str">
        <f t="shared" si="0"/>
        <v>DERECK</v>
      </c>
      <c r="AM82" s="28" t="s">
        <v>177</v>
      </c>
      <c r="AN82" s="28">
        <v>0</v>
      </c>
      <c r="AO82" s="28">
        <v>0</v>
      </c>
      <c r="AP82" s="28"/>
      <c r="AQ82" s="28">
        <f t="shared" ca="1" si="1"/>
        <v>3</v>
      </c>
    </row>
    <row r="83" spans="1:43" x14ac:dyDescent="0.25">
      <c r="A83" t="s">
        <v>201</v>
      </c>
      <c r="B83">
        <v>1</v>
      </c>
      <c r="C83">
        <v>0</v>
      </c>
      <c r="D83">
        <v>0</v>
      </c>
      <c r="E83">
        <v>0</v>
      </c>
      <c r="I83" t="s">
        <v>92</v>
      </c>
      <c r="J83">
        <v>1</v>
      </c>
      <c r="K83">
        <v>0</v>
      </c>
      <c r="L83">
        <v>0</v>
      </c>
      <c r="M83">
        <v>0</v>
      </c>
      <c r="R83" t="s">
        <v>46</v>
      </c>
      <c r="S83">
        <v>1</v>
      </c>
      <c r="T83">
        <v>1</v>
      </c>
      <c r="U83">
        <v>1</v>
      </c>
      <c r="V83">
        <v>1</v>
      </c>
      <c r="Z83" t="s">
        <v>219</v>
      </c>
      <c r="AL83" s="28" t="str">
        <f t="shared" si="0"/>
        <v>PROBST</v>
      </c>
      <c r="AM83" s="28" t="s">
        <v>178</v>
      </c>
      <c r="AN83" s="28">
        <v>0</v>
      </c>
      <c r="AO83" s="28">
        <v>0</v>
      </c>
      <c r="AP83" s="28"/>
      <c r="AQ83" s="28">
        <f t="shared" ca="1" si="1"/>
        <v>3</v>
      </c>
    </row>
    <row r="84" spans="1:43" x14ac:dyDescent="0.25">
      <c r="A84" t="s">
        <v>91</v>
      </c>
      <c r="B84">
        <v>1</v>
      </c>
      <c r="C84">
        <v>0</v>
      </c>
      <c r="D84">
        <v>0</v>
      </c>
      <c r="E84">
        <v>0</v>
      </c>
      <c r="I84" t="s">
        <v>201</v>
      </c>
      <c r="J84">
        <v>1</v>
      </c>
      <c r="K84">
        <v>0</v>
      </c>
      <c r="L84">
        <v>0</v>
      </c>
      <c r="M84">
        <v>0</v>
      </c>
      <c r="R84" t="s">
        <v>132</v>
      </c>
      <c r="S84">
        <v>1</v>
      </c>
      <c r="T84">
        <v>1</v>
      </c>
      <c r="U84">
        <v>1</v>
      </c>
      <c r="V84">
        <v>1</v>
      </c>
      <c r="Z84" t="s">
        <v>220</v>
      </c>
      <c r="AL84" s="24" t="str">
        <f t="shared" si="0"/>
        <v>GK MARUCCO</v>
      </c>
      <c r="AM84" s="24" t="s">
        <v>192</v>
      </c>
      <c r="AN84" s="24">
        <v>1</v>
      </c>
      <c r="AO84" s="24">
        <v>0</v>
      </c>
      <c r="AP84" s="24" t="s">
        <v>192</v>
      </c>
      <c r="AQ84" s="24">
        <f ca="1">SUMIF($AM$7:$AM$186,"GK MARUCCO",$AO$7:$AO$185)</f>
        <v>1</v>
      </c>
    </row>
    <row r="85" spans="1:43" x14ac:dyDescent="0.25">
      <c r="A85" t="s">
        <v>94</v>
      </c>
      <c r="B85">
        <v>1</v>
      </c>
      <c r="C85">
        <v>0</v>
      </c>
      <c r="D85">
        <v>0</v>
      </c>
      <c r="E85">
        <v>0</v>
      </c>
      <c r="I85" t="s">
        <v>91</v>
      </c>
      <c r="J85">
        <v>1</v>
      </c>
      <c r="K85">
        <v>0</v>
      </c>
      <c r="L85">
        <v>0</v>
      </c>
      <c r="M85">
        <v>0</v>
      </c>
      <c r="R85" t="s">
        <v>231</v>
      </c>
      <c r="S85">
        <v>1</v>
      </c>
      <c r="T85">
        <v>0</v>
      </c>
      <c r="U85">
        <v>0</v>
      </c>
      <c r="V85">
        <v>1</v>
      </c>
      <c r="Z85" t="s">
        <v>221</v>
      </c>
      <c r="AL85" s="28" t="str">
        <f t="shared" si="0"/>
        <v>NATHAN</v>
      </c>
      <c r="AM85" s="28" t="s">
        <v>167</v>
      </c>
      <c r="AN85" s="28">
        <v>1</v>
      </c>
      <c r="AO85" s="28">
        <v>0</v>
      </c>
      <c r="AP85" s="28"/>
      <c r="AQ85" s="28">
        <f t="shared" ca="1" si="1"/>
        <v>3</v>
      </c>
    </row>
    <row r="86" spans="1:43" x14ac:dyDescent="0.25">
      <c r="I86" t="s">
        <v>97</v>
      </c>
      <c r="J86">
        <v>1</v>
      </c>
      <c r="K86">
        <v>0</v>
      </c>
      <c r="L86">
        <v>0</v>
      </c>
      <c r="M86">
        <v>0</v>
      </c>
      <c r="R86" t="s">
        <v>109</v>
      </c>
      <c r="S86">
        <v>1</v>
      </c>
      <c r="T86">
        <v>0</v>
      </c>
      <c r="U86">
        <v>0</v>
      </c>
      <c r="V86">
        <v>1</v>
      </c>
      <c r="Z86" t="s">
        <v>222</v>
      </c>
      <c r="AL86" s="28" t="str">
        <f t="shared" si="0"/>
        <v>BORBA</v>
      </c>
      <c r="AM86" s="28" t="s">
        <v>176</v>
      </c>
      <c r="AN86" s="28">
        <v>1</v>
      </c>
      <c r="AO86" s="28">
        <v>0</v>
      </c>
      <c r="AP86" s="28"/>
      <c r="AQ86" s="28">
        <f t="shared" ca="1" si="1"/>
        <v>3</v>
      </c>
    </row>
    <row r="87" spans="1:43" x14ac:dyDescent="0.25">
      <c r="Z87" t="s">
        <v>223</v>
      </c>
      <c r="AL87" s="28" t="str">
        <f t="shared" si="0"/>
        <v>DANILIM</v>
      </c>
      <c r="AM87" s="28" t="s">
        <v>169</v>
      </c>
      <c r="AN87" s="28">
        <v>1</v>
      </c>
      <c r="AO87" s="28">
        <v>0</v>
      </c>
      <c r="AP87" s="28"/>
      <c r="AQ87" s="28">
        <f t="shared" ca="1" si="1"/>
        <v>3</v>
      </c>
    </row>
    <row r="88" spans="1:43" x14ac:dyDescent="0.25">
      <c r="AL88" s="28" t="str">
        <f t="shared" si="0"/>
        <v>PIETRO</v>
      </c>
      <c r="AM88" s="28" t="s">
        <v>175</v>
      </c>
      <c r="AN88" s="28">
        <v>1</v>
      </c>
      <c r="AO88" s="28">
        <v>0</v>
      </c>
      <c r="AP88" s="28"/>
      <c r="AQ88" s="28">
        <f t="shared" ca="1" si="1"/>
        <v>3</v>
      </c>
    </row>
    <row r="89" spans="1:43" x14ac:dyDescent="0.25">
      <c r="AL89" s="24" t="str">
        <f t="shared" si="0"/>
        <v>ZAGA</v>
      </c>
      <c r="AM89" s="24" t="s">
        <v>179</v>
      </c>
      <c r="AN89" s="24">
        <v>1</v>
      </c>
      <c r="AO89" s="24">
        <v>0</v>
      </c>
      <c r="AP89" s="24" t="s">
        <v>179</v>
      </c>
      <c r="AQ89" s="24">
        <f ca="1">SUMIF($AM$7:$AM$186,"ZAGA",$AO$7:$AO$185)</f>
        <v>2</v>
      </c>
    </row>
    <row r="90" spans="1:43" x14ac:dyDescent="0.25">
      <c r="AL90" s="28" t="str">
        <f t="shared" si="0"/>
        <v>ANDRÉ</v>
      </c>
      <c r="AM90" s="28" t="s">
        <v>166</v>
      </c>
      <c r="AN90" s="28">
        <v>1</v>
      </c>
      <c r="AO90" s="28">
        <v>0</v>
      </c>
      <c r="AP90" s="28"/>
      <c r="AQ90" s="28">
        <f t="shared" ca="1" si="1"/>
        <v>3</v>
      </c>
    </row>
    <row r="91" spans="1:43" x14ac:dyDescent="0.25">
      <c r="AL91" s="28" t="str">
        <f t="shared" si="0"/>
        <v>GLAUBER</v>
      </c>
      <c r="AM91" s="28" t="s">
        <v>40</v>
      </c>
      <c r="AN91" s="28">
        <v>1</v>
      </c>
      <c r="AO91" s="28">
        <v>0</v>
      </c>
      <c r="AP91" s="28"/>
      <c r="AQ91" s="28">
        <f t="shared" ca="1" si="1"/>
        <v>3</v>
      </c>
    </row>
    <row r="92" spans="1:43" x14ac:dyDescent="0.25">
      <c r="AL92" s="28" t="str">
        <f t="shared" ref="AL92:AL155" si="2">UPPER(AM92)</f>
        <v>DERECK</v>
      </c>
      <c r="AM92" s="28" t="s">
        <v>177</v>
      </c>
      <c r="AN92" s="28">
        <v>0</v>
      </c>
      <c r="AO92" s="28">
        <v>0</v>
      </c>
      <c r="AP92" s="28"/>
      <c r="AQ92" s="28">
        <f t="shared" ca="1" si="1"/>
        <v>3</v>
      </c>
    </row>
    <row r="93" spans="1:43" x14ac:dyDescent="0.25">
      <c r="A93" s="20" t="s">
        <v>11</v>
      </c>
      <c r="B93" s="21">
        <v>2024</v>
      </c>
      <c r="C93" s="21" t="s">
        <v>31</v>
      </c>
      <c r="D93" s="21">
        <v>5</v>
      </c>
      <c r="E93" s="22">
        <v>3</v>
      </c>
      <c r="F93" s="21" t="s">
        <v>32</v>
      </c>
      <c r="G93" s="70" t="s">
        <v>14</v>
      </c>
      <c r="H93" s="70"/>
      <c r="I93" s="20" t="s">
        <v>20</v>
      </c>
      <c r="J93" s="2">
        <v>2023</v>
      </c>
      <c r="K93" s="2" t="s">
        <v>29</v>
      </c>
      <c r="L93" s="2">
        <v>3</v>
      </c>
      <c r="M93" s="11">
        <v>2</v>
      </c>
      <c r="N93" s="2" t="s">
        <v>30</v>
      </c>
      <c r="O93" s="71" t="s">
        <v>14</v>
      </c>
      <c r="P93" s="71"/>
      <c r="Q93" s="20" t="s">
        <v>19</v>
      </c>
      <c r="R93" s="2">
        <v>2023</v>
      </c>
      <c r="S93" s="2" t="s">
        <v>29</v>
      </c>
      <c r="T93" s="2">
        <v>0</v>
      </c>
      <c r="U93" s="11">
        <v>0</v>
      </c>
      <c r="V93" s="2" t="s">
        <v>30</v>
      </c>
      <c r="W93" s="71" t="s">
        <v>14</v>
      </c>
      <c r="X93" s="71"/>
    </row>
    <row r="94" spans="1:43" x14ac:dyDescent="0.25">
      <c r="A94" t="s">
        <v>59</v>
      </c>
      <c r="I94" t="s">
        <v>77</v>
      </c>
      <c r="Q94" t="s">
        <v>77</v>
      </c>
      <c r="AL94" s="28" t="str">
        <f t="shared" si="2"/>
        <v>BALA</v>
      </c>
      <c r="AM94" s="28" t="s">
        <v>172</v>
      </c>
      <c r="AN94" s="28">
        <v>1</v>
      </c>
      <c r="AO94" s="28">
        <v>1</v>
      </c>
      <c r="AP94" s="28"/>
      <c r="AQ94" s="28">
        <f t="shared" ref="AQ94:AQ156" ca="1" si="3">SUMIF($AM$7:$AM$186,"kretzer",$AO$7:$AO$185)</f>
        <v>3</v>
      </c>
    </row>
    <row r="95" spans="1:43" x14ac:dyDescent="0.25">
      <c r="A95" t="s">
        <v>115</v>
      </c>
      <c r="B95" t="s">
        <v>85</v>
      </c>
      <c r="C95" t="s">
        <v>86</v>
      </c>
      <c r="D95" t="s">
        <v>87</v>
      </c>
      <c r="E95" t="s">
        <v>145</v>
      </c>
      <c r="I95" t="s">
        <v>115</v>
      </c>
      <c r="J95" t="s">
        <v>85</v>
      </c>
      <c r="K95" t="s">
        <v>86</v>
      </c>
      <c r="L95" t="s">
        <v>87</v>
      </c>
      <c r="M95" t="s">
        <v>145</v>
      </c>
      <c r="Q95" t="s">
        <v>115</v>
      </c>
      <c r="R95" t="s">
        <v>85</v>
      </c>
      <c r="S95" t="s">
        <v>86</v>
      </c>
      <c r="T95" t="s">
        <v>87</v>
      </c>
      <c r="U95" t="s">
        <v>145</v>
      </c>
      <c r="AL95" s="28" t="str">
        <f t="shared" si="2"/>
        <v>FANTA</v>
      </c>
      <c r="AM95" s="28" t="s">
        <v>37</v>
      </c>
      <c r="AN95" s="28">
        <v>1</v>
      </c>
      <c r="AO95" s="28">
        <v>1</v>
      </c>
      <c r="AP95" s="28"/>
      <c r="AQ95" s="28">
        <f t="shared" ca="1" si="3"/>
        <v>3</v>
      </c>
    </row>
    <row r="96" spans="1:43" x14ac:dyDescent="0.25">
      <c r="A96" t="s">
        <v>56</v>
      </c>
      <c r="B96">
        <v>1</v>
      </c>
      <c r="C96">
        <v>1</v>
      </c>
      <c r="D96">
        <v>0</v>
      </c>
      <c r="E96">
        <v>1</v>
      </c>
      <c r="I96" t="s">
        <v>96</v>
      </c>
      <c r="J96">
        <v>1</v>
      </c>
      <c r="K96">
        <v>0</v>
      </c>
      <c r="L96">
        <v>0</v>
      </c>
      <c r="M96">
        <v>0</v>
      </c>
      <c r="Q96" t="s">
        <v>96</v>
      </c>
      <c r="R96">
        <v>1</v>
      </c>
      <c r="S96">
        <v>0</v>
      </c>
      <c r="T96">
        <v>0</v>
      </c>
      <c r="U96">
        <v>1</v>
      </c>
      <c r="AL96" s="28" t="str">
        <f t="shared" si="2"/>
        <v>GAROPA</v>
      </c>
      <c r="AM96" s="28" t="s">
        <v>43</v>
      </c>
      <c r="AN96" s="28">
        <v>1</v>
      </c>
      <c r="AO96" s="28">
        <v>1</v>
      </c>
      <c r="AP96" s="28"/>
      <c r="AQ96" s="28">
        <f t="shared" ca="1" si="3"/>
        <v>3</v>
      </c>
    </row>
    <row r="97" spans="1:43" x14ac:dyDescent="0.25">
      <c r="A97" t="s">
        <v>128</v>
      </c>
      <c r="B97">
        <v>1</v>
      </c>
      <c r="C97">
        <v>0</v>
      </c>
      <c r="D97">
        <v>0</v>
      </c>
      <c r="E97">
        <v>1</v>
      </c>
      <c r="I97" t="s">
        <v>97</v>
      </c>
      <c r="J97">
        <v>1</v>
      </c>
      <c r="K97">
        <v>0</v>
      </c>
      <c r="L97">
        <v>0</v>
      </c>
      <c r="M97">
        <v>0</v>
      </c>
      <c r="Q97" t="s">
        <v>97</v>
      </c>
      <c r="R97">
        <v>1</v>
      </c>
      <c r="S97">
        <v>0</v>
      </c>
      <c r="T97">
        <v>0</v>
      </c>
      <c r="U97">
        <v>1</v>
      </c>
      <c r="AL97" s="28" t="str">
        <f t="shared" si="2"/>
        <v>LETTI</v>
      </c>
      <c r="AM97" s="28" t="s">
        <v>35</v>
      </c>
      <c r="AN97" s="28">
        <v>1</v>
      </c>
      <c r="AO97" s="28">
        <v>1</v>
      </c>
      <c r="AP97" s="28"/>
      <c r="AQ97" s="28">
        <f t="shared" ca="1" si="3"/>
        <v>3</v>
      </c>
    </row>
    <row r="98" spans="1:43" x14ac:dyDescent="0.25">
      <c r="A98" t="s">
        <v>98</v>
      </c>
      <c r="B98">
        <v>1</v>
      </c>
      <c r="C98">
        <v>3</v>
      </c>
      <c r="D98">
        <v>0</v>
      </c>
      <c r="E98">
        <v>1</v>
      </c>
      <c r="I98" t="s">
        <v>88</v>
      </c>
      <c r="J98">
        <v>1</v>
      </c>
      <c r="K98">
        <v>0</v>
      </c>
      <c r="L98">
        <v>0</v>
      </c>
      <c r="M98">
        <v>0</v>
      </c>
      <c r="Q98" t="s">
        <v>88</v>
      </c>
      <c r="R98">
        <v>1</v>
      </c>
      <c r="S98">
        <v>0</v>
      </c>
      <c r="T98">
        <v>0</v>
      </c>
      <c r="U98">
        <v>1</v>
      </c>
      <c r="AL98" s="28" t="str">
        <f t="shared" si="2"/>
        <v>VITAO</v>
      </c>
      <c r="AM98" s="28" t="s">
        <v>41</v>
      </c>
      <c r="AN98" s="28">
        <v>1</v>
      </c>
      <c r="AO98" s="28">
        <v>1</v>
      </c>
      <c r="AP98" s="28"/>
      <c r="AQ98" s="28">
        <f t="shared" ca="1" si="3"/>
        <v>3</v>
      </c>
    </row>
    <row r="99" spans="1:43" x14ac:dyDescent="0.25">
      <c r="A99" t="s">
        <v>99</v>
      </c>
      <c r="B99">
        <v>1</v>
      </c>
      <c r="C99">
        <v>0</v>
      </c>
      <c r="D99">
        <v>2</v>
      </c>
      <c r="E99">
        <v>1</v>
      </c>
      <c r="I99" t="s">
        <v>89</v>
      </c>
      <c r="J99">
        <v>1</v>
      </c>
      <c r="K99">
        <v>0</v>
      </c>
      <c r="L99">
        <v>0</v>
      </c>
      <c r="M99">
        <v>0</v>
      </c>
      <c r="Q99" t="s">
        <v>89</v>
      </c>
      <c r="R99">
        <v>1</v>
      </c>
      <c r="S99">
        <v>0</v>
      </c>
      <c r="T99">
        <v>0</v>
      </c>
      <c r="U99">
        <v>1</v>
      </c>
      <c r="AL99" s="28" t="str">
        <f t="shared" si="2"/>
        <v>LEO</v>
      </c>
      <c r="AM99" s="28" t="s">
        <v>38</v>
      </c>
      <c r="AN99" s="28">
        <v>1</v>
      </c>
      <c r="AO99" s="28">
        <v>1</v>
      </c>
      <c r="AP99" s="28"/>
      <c r="AQ99" s="28">
        <f t="shared" ca="1" si="3"/>
        <v>3</v>
      </c>
    </row>
    <row r="100" spans="1:43" x14ac:dyDescent="0.25">
      <c r="A100" t="s">
        <v>129</v>
      </c>
      <c r="B100">
        <v>1</v>
      </c>
      <c r="C100">
        <v>0</v>
      </c>
      <c r="D100">
        <v>0</v>
      </c>
      <c r="E100">
        <v>1</v>
      </c>
      <c r="I100" t="s">
        <v>103</v>
      </c>
      <c r="J100">
        <v>1</v>
      </c>
      <c r="K100">
        <v>0</v>
      </c>
      <c r="L100">
        <v>2</v>
      </c>
      <c r="M100">
        <v>0</v>
      </c>
      <c r="Q100" t="s">
        <v>103</v>
      </c>
      <c r="R100">
        <v>1</v>
      </c>
      <c r="S100">
        <v>0</v>
      </c>
      <c r="T100">
        <v>0</v>
      </c>
      <c r="U100">
        <v>1</v>
      </c>
      <c r="AL100" s="28" t="str">
        <f t="shared" si="2"/>
        <v>PHELPS</v>
      </c>
      <c r="AM100" s="28" t="s">
        <v>171</v>
      </c>
      <c r="AN100" s="28">
        <v>1</v>
      </c>
      <c r="AO100" s="28">
        <v>1</v>
      </c>
      <c r="AP100" s="28"/>
      <c r="AQ100" s="28">
        <f t="shared" ca="1" si="3"/>
        <v>3</v>
      </c>
    </row>
    <row r="101" spans="1:43" x14ac:dyDescent="0.25">
      <c r="A101" t="s">
        <v>100</v>
      </c>
      <c r="B101">
        <v>1</v>
      </c>
      <c r="C101">
        <v>0</v>
      </c>
      <c r="D101">
        <v>1</v>
      </c>
      <c r="E101">
        <v>1</v>
      </c>
      <c r="I101" t="s">
        <v>101</v>
      </c>
      <c r="J101">
        <v>1</v>
      </c>
      <c r="K101">
        <v>0</v>
      </c>
      <c r="L101">
        <v>0</v>
      </c>
      <c r="M101">
        <v>0</v>
      </c>
      <c r="Q101" t="s">
        <v>101</v>
      </c>
      <c r="R101">
        <v>1</v>
      </c>
      <c r="S101">
        <v>0</v>
      </c>
      <c r="T101">
        <v>0</v>
      </c>
      <c r="U101">
        <v>1</v>
      </c>
      <c r="AL101" s="28" t="str">
        <f t="shared" si="2"/>
        <v>HANON</v>
      </c>
      <c r="AM101" s="28" t="s">
        <v>173</v>
      </c>
      <c r="AN101" s="28">
        <v>1</v>
      </c>
      <c r="AO101" s="28">
        <v>1</v>
      </c>
      <c r="AP101" s="28"/>
      <c r="AQ101" s="28">
        <f t="shared" ca="1" si="3"/>
        <v>3</v>
      </c>
    </row>
    <row r="102" spans="1:43" x14ac:dyDescent="0.25">
      <c r="A102" t="s">
        <v>101</v>
      </c>
      <c r="B102">
        <v>1</v>
      </c>
      <c r="C102">
        <v>0</v>
      </c>
      <c r="D102">
        <v>0</v>
      </c>
      <c r="E102">
        <v>1</v>
      </c>
      <c r="I102" t="s">
        <v>90</v>
      </c>
      <c r="J102">
        <v>1</v>
      </c>
      <c r="K102">
        <v>0</v>
      </c>
      <c r="L102">
        <v>0</v>
      </c>
      <c r="M102">
        <v>0</v>
      </c>
      <c r="Q102" t="s">
        <v>90</v>
      </c>
      <c r="R102">
        <v>1</v>
      </c>
      <c r="S102">
        <v>0</v>
      </c>
      <c r="T102">
        <v>0</v>
      </c>
      <c r="U102">
        <v>1</v>
      </c>
      <c r="AL102" s="28" t="str">
        <f t="shared" si="2"/>
        <v>KRETZER</v>
      </c>
      <c r="AM102" s="28" t="s">
        <v>163</v>
      </c>
      <c r="AN102" s="28">
        <v>1</v>
      </c>
      <c r="AO102" s="28">
        <v>1</v>
      </c>
      <c r="AP102" s="28"/>
      <c r="AQ102" s="28">
        <f t="shared" ca="1" si="3"/>
        <v>3</v>
      </c>
    </row>
    <row r="103" spans="1:43" x14ac:dyDescent="0.25">
      <c r="A103" t="s">
        <v>102</v>
      </c>
      <c r="B103">
        <v>1</v>
      </c>
      <c r="C103">
        <v>0</v>
      </c>
      <c r="D103">
        <v>0</v>
      </c>
      <c r="E103">
        <v>1</v>
      </c>
      <c r="I103" t="s">
        <v>109</v>
      </c>
      <c r="J103">
        <v>1</v>
      </c>
      <c r="K103">
        <v>1</v>
      </c>
      <c r="L103">
        <v>0</v>
      </c>
      <c r="M103">
        <v>0</v>
      </c>
      <c r="Q103" t="s">
        <v>109</v>
      </c>
      <c r="R103">
        <v>1</v>
      </c>
      <c r="S103">
        <v>0</v>
      </c>
      <c r="T103">
        <v>0</v>
      </c>
      <c r="U103">
        <v>1</v>
      </c>
      <c r="AL103" s="28" t="str">
        <f t="shared" si="2"/>
        <v>NATHAN</v>
      </c>
      <c r="AM103" s="28" t="s">
        <v>167</v>
      </c>
      <c r="AN103" s="28">
        <v>1</v>
      </c>
      <c r="AO103" s="28">
        <v>0</v>
      </c>
      <c r="AP103" s="28"/>
      <c r="AQ103" s="28">
        <f t="shared" ca="1" si="3"/>
        <v>3</v>
      </c>
    </row>
    <row r="104" spans="1:43" x14ac:dyDescent="0.25">
      <c r="I104" t="s">
        <v>91</v>
      </c>
      <c r="J104">
        <v>1</v>
      </c>
      <c r="K104">
        <v>1</v>
      </c>
      <c r="L104">
        <v>0</v>
      </c>
      <c r="M104">
        <v>0</v>
      </c>
      <c r="Q104" t="s">
        <v>91</v>
      </c>
      <c r="R104">
        <v>1</v>
      </c>
      <c r="S104">
        <v>0</v>
      </c>
      <c r="T104">
        <v>0</v>
      </c>
      <c r="U104">
        <v>1</v>
      </c>
      <c r="AL104" s="28" t="str">
        <f t="shared" si="2"/>
        <v>BORBA</v>
      </c>
      <c r="AM104" s="28" t="s">
        <v>176</v>
      </c>
      <c r="AN104" s="28">
        <v>1</v>
      </c>
      <c r="AO104" s="28">
        <v>0</v>
      </c>
      <c r="AP104" s="28"/>
      <c r="AQ104" s="28">
        <f t="shared" ca="1" si="3"/>
        <v>3</v>
      </c>
    </row>
    <row r="105" spans="1:43" x14ac:dyDescent="0.25">
      <c r="A105" t="s">
        <v>68</v>
      </c>
      <c r="I105" t="s">
        <v>92</v>
      </c>
      <c r="J105">
        <v>1</v>
      </c>
      <c r="K105">
        <v>0</v>
      </c>
      <c r="L105">
        <v>0</v>
      </c>
      <c r="M105">
        <v>0</v>
      </c>
      <c r="Q105" t="s">
        <v>92</v>
      </c>
      <c r="R105">
        <v>1</v>
      </c>
      <c r="S105">
        <v>0</v>
      </c>
      <c r="T105">
        <v>0</v>
      </c>
      <c r="U105">
        <v>1</v>
      </c>
      <c r="AL105" s="28" t="str">
        <f t="shared" si="2"/>
        <v>DANILIM</v>
      </c>
      <c r="AM105" s="28" t="s">
        <v>169</v>
      </c>
      <c r="AN105" s="28">
        <v>1</v>
      </c>
      <c r="AO105" s="28">
        <v>0</v>
      </c>
      <c r="AP105" s="28"/>
      <c r="AQ105" s="28">
        <f t="shared" ca="1" si="3"/>
        <v>3</v>
      </c>
    </row>
    <row r="106" spans="1:43" x14ac:dyDescent="0.25">
      <c r="A106" t="s">
        <v>115</v>
      </c>
      <c r="B106" t="s">
        <v>85</v>
      </c>
      <c r="C106" t="s">
        <v>86</v>
      </c>
      <c r="D106" t="s">
        <v>87</v>
      </c>
      <c r="I106" t="s">
        <v>114</v>
      </c>
      <c r="J106">
        <v>1</v>
      </c>
      <c r="K106">
        <v>0</v>
      </c>
      <c r="L106">
        <v>0</v>
      </c>
      <c r="M106">
        <v>0</v>
      </c>
      <c r="Q106" t="s">
        <v>112</v>
      </c>
      <c r="R106">
        <v>1</v>
      </c>
      <c r="S106">
        <v>0</v>
      </c>
      <c r="T106">
        <v>0</v>
      </c>
      <c r="U106">
        <v>1</v>
      </c>
      <c r="AL106" s="28" t="str">
        <f t="shared" si="2"/>
        <v>PIETRO</v>
      </c>
      <c r="AM106" s="28" t="s">
        <v>175</v>
      </c>
      <c r="AN106" s="28">
        <v>1</v>
      </c>
      <c r="AO106" s="28">
        <v>0</v>
      </c>
      <c r="AP106" s="28"/>
      <c r="AQ106" s="28">
        <f t="shared" ca="1" si="3"/>
        <v>3</v>
      </c>
    </row>
    <row r="107" spans="1:43" x14ac:dyDescent="0.25">
      <c r="A107" t="s">
        <v>48</v>
      </c>
      <c r="B107">
        <v>1</v>
      </c>
      <c r="C107">
        <v>1</v>
      </c>
      <c r="D107">
        <v>0</v>
      </c>
      <c r="E107">
        <v>0</v>
      </c>
      <c r="AL107" s="28" t="str">
        <f t="shared" si="2"/>
        <v>ZAGA</v>
      </c>
      <c r="AM107" s="28" t="s">
        <v>179</v>
      </c>
      <c r="AN107" s="28">
        <v>1</v>
      </c>
      <c r="AO107" s="28">
        <v>0</v>
      </c>
      <c r="AP107" s="28"/>
      <c r="AQ107" s="28">
        <f t="shared" ca="1" si="3"/>
        <v>3</v>
      </c>
    </row>
    <row r="108" spans="1:43" x14ac:dyDescent="0.25">
      <c r="A108" t="s">
        <v>46</v>
      </c>
      <c r="B108">
        <v>1</v>
      </c>
      <c r="C108">
        <v>0</v>
      </c>
      <c r="D108">
        <v>1</v>
      </c>
      <c r="E108">
        <v>0</v>
      </c>
      <c r="I108" t="s">
        <v>79</v>
      </c>
      <c r="Q108" t="s">
        <v>81</v>
      </c>
      <c r="AL108" s="28" t="str">
        <f t="shared" si="2"/>
        <v>ANDRÉ</v>
      </c>
      <c r="AM108" s="28" t="s">
        <v>166</v>
      </c>
      <c r="AN108" s="28">
        <v>1</v>
      </c>
      <c r="AO108" s="28">
        <v>0</v>
      </c>
      <c r="AP108" s="28"/>
      <c r="AQ108" s="28">
        <f t="shared" ca="1" si="3"/>
        <v>3</v>
      </c>
    </row>
    <row r="109" spans="1:43" x14ac:dyDescent="0.25">
      <c r="A109" t="s">
        <v>55</v>
      </c>
      <c r="B109">
        <v>1</v>
      </c>
      <c r="C109">
        <v>0</v>
      </c>
      <c r="D109">
        <v>0</v>
      </c>
      <c r="E109">
        <v>0</v>
      </c>
      <c r="I109" t="s">
        <v>115</v>
      </c>
      <c r="J109" t="s">
        <v>85</v>
      </c>
      <c r="K109" t="s">
        <v>86</v>
      </c>
      <c r="L109" t="s">
        <v>87</v>
      </c>
      <c r="Q109" t="s">
        <v>115</v>
      </c>
      <c r="R109" t="s">
        <v>85</v>
      </c>
      <c r="S109" t="s">
        <v>86</v>
      </c>
      <c r="T109" t="s">
        <v>87</v>
      </c>
      <c r="AL109" s="28" t="str">
        <f t="shared" si="2"/>
        <v>GLAUBER</v>
      </c>
      <c r="AM109" s="28" t="s">
        <v>40</v>
      </c>
      <c r="AN109" s="28">
        <v>1</v>
      </c>
      <c r="AO109" s="28">
        <v>0</v>
      </c>
      <c r="AP109" s="28"/>
      <c r="AQ109" s="28">
        <f t="shared" ca="1" si="3"/>
        <v>3</v>
      </c>
    </row>
    <row r="110" spans="1:43" x14ac:dyDescent="0.25">
      <c r="A110" t="s">
        <v>130</v>
      </c>
      <c r="B110">
        <v>1</v>
      </c>
      <c r="C110">
        <v>1</v>
      </c>
      <c r="D110">
        <v>0</v>
      </c>
      <c r="E110">
        <v>0</v>
      </c>
      <c r="I110" t="s">
        <v>98</v>
      </c>
      <c r="J110">
        <v>1</v>
      </c>
      <c r="K110">
        <v>1</v>
      </c>
      <c r="L110">
        <v>0</v>
      </c>
      <c r="M110">
        <v>1</v>
      </c>
      <c r="Q110" t="s">
        <v>98</v>
      </c>
      <c r="R110">
        <v>1</v>
      </c>
      <c r="S110">
        <v>0</v>
      </c>
      <c r="T110">
        <v>0</v>
      </c>
      <c r="U110">
        <v>0</v>
      </c>
      <c r="AL110" s="28" t="str">
        <f t="shared" si="2"/>
        <v>DERECK</v>
      </c>
      <c r="AM110" s="28" t="s">
        <v>177</v>
      </c>
      <c r="AN110" s="28">
        <v>0</v>
      </c>
      <c r="AO110" s="28">
        <v>0</v>
      </c>
      <c r="AP110" s="28"/>
      <c r="AQ110" s="28">
        <f t="shared" ca="1" si="3"/>
        <v>3</v>
      </c>
    </row>
    <row r="111" spans="1:43" x14ac:dyDescent="0.25">
      <c r="A111" t="s">
        <v>131</v>
      </c>
      <c r="B111">
        <v>1</v>
      </c>
      <c r="C111">
        <v>0</v>
      </c>
      <c r="D111">
        <v>0</v>
      </c>
      <c r="E111">
        <v>0</v>
      </c>
      <c r="I111" t="s">
        <v>117</v>
      </c>
      <c r="J111">
        <v>1</v>
      </c>
      <c r="K111">
        <v>0</v>
      </c>
      <c r="L111">
        <v>2</v>
      </c>
      <c r="M111">
        <v>1</v>
      </c>
      <c r="Q111" t="s">
        <v>117</v>
      </c>
      <c r="R111">
        <v>1</v>
      </c>
      <c r="S111">
        <v>0</v>
      </c>
      <c r="T111">
        <v>0</v>
      </c>
      <c r="U111">
        <v>0</v>
      </c>
      <c r="AL111" s="28" t="str">
        <f t="shared" si="2"/>
        <v>BERNA</v>
      </c>
      <c r="AM111" s="28" t="s">
        <v>180</v>
      </c>
      <c r="AN111" s="28">
        <v>0</v>
      </c>
      <c r="AO111" s="28">
        <v>0</v>
      </c>
      <c r="AP111" s="28"/>
      <c r="AQ111" s="28">
        <f t="shared" ca="1" si="3"/>
        <v>3</v>
      </c>
    </row>
    <row r="112" spans="1:43" x14ac:dyDescent="0.25">
      <c r="A112" t="s">
        <v>132</v>
      </c>
      <c r="B112">
        <v>1</v>
      </c>
      <c r="C112">
        <v>1</v>
      </c>
      <c r="D112">
        <v>0</v>
      </c>
      <c r="E112">
        <v>0</v>
      </c>
      <c r="I112" t="s">
        <v>118</v>
      </c>
      <c r="J112">
        <v>1</v>
      </c>
      <c r="K112">
        <v>0</v>
      </c>
      <c r="L112">
        <v>0</v>
      </c>
      <c r="M112">
        <v>1</v>
      </c>
      <c r="Q112" t="s">
        <v>118</v>
      </c>
      <c r="R112">
        <v>1</v>
      </c>
      <c r="S112">
        <v>0</v>
      </c>
      <c r="T112">
        <v>0</v>
      </c>
      <c r="U112">
        <v>0</v>
      </c>
      <c r="AL112" s="28" t="str">
        <f t="shared" si="2"/>
        <v xml:space="preserve">KRETZER </v>
      </c>
      <c r="AM112" s="28" t="s">
        <v>181</v>
      </c>
      <c r="AN112" s="28">
        <v>1</v>
      </c>
      <c r="AO112" s="28">
        <v>0</v>
      </c>
      <c r="AP112" s="28"/>
      <c r="AQ112" s="28">
        <f t="shared" ca="1" si="3"/>
        <v>3</v>
      </c>
    </row>
    <row r="113" spans="1:43" x14ac:dyDescent="0.25">
      <c r="A113" t="s">
        <v>57</v>
      </c>
      <c r="B113">
        <v>1</v>
      </c>
      <c r="C113">
        <v>0</v>
      </c>
      <c r="D113">
        <v>1</v>
      </c>
      <c r="E113">
        <v>0</v>
      </c>
      <c r="I113" t="s">
        <v>99</v>
      </c>
      <c r="J113">
        <v>1</v>
      </c>
      <c r="K113">
        <v>2</v>
      </c>
      <c r="L113">
        <v>0</v>
      </c>
      <c r="M113">
        <v>1</v>
      </c>
      <c r="Q113" t="s">
        <v>99</v>
      </c>
      <c r="R113">
        <v>1</v>
      </c>
      <c r="S113">
        <v>0</v>
      </c>
      <c r="T113">
        <v>0</v>
      </c>
      <c r="U113">
        <v>0</v>
      </c>
      <c r="AL113" s="28" t="str">
        <f t="shared" si="2"/>
        <v>FANTA</v>
      </c>
      <c r="AM113" s="28" t="s">
        <v>37</v>
      </c>
      <c r="AN113" s="28">
        <v>1</v>
      </c>
      <c r="AO113" s="28">
        <v>0</v>
      </c>
      <c r="AP113" s="28"/>
      <c r="AQ113" s="28">
        <f t="shared" ca="1" si="3"/>
        <v>3</v>
      </c>
    </row>
    <row r="114" spans="1:43" x14ac:dyDescent="0.25">
      <c r="A114" t="s">
        <v>133</v>
      </c>
      <c r="B114">
        <v>1</v>
      </c>
      <c r="C114">
        <v>0</v>
      </c>
      <c r="D114">
        <v>0</v>
      </c>
      <c r="E114">
        <v>0</v>
      </c>
      <c r="I114" t="s">
        <v>93</v>
      </c>
      <c r="J114">
        <v>0</v>
      </c>
      <c r="K114">
        <v>0</v>
      </c>
      <c r="L114">
        <v>0</v>
      </c>
      <c r="Q114" t="s">
        <v>93</v>
      </c>
      <c r="R114">
        <v>1</v>
      </c>
      <c r="S114">
        <v>0</v>
      </c>
      <c r="T114">
        <v>0</v>
      </c>
      <c r="U114">
        <v>0</v>
      </c>
      <c r="AL114" s="28" t="str">
        <f t="shared" si="2"/>
        <v>GAROPA</v>
      </c>
      <c r="AM114" s="28" t="s">
        <v>43</v>
      </c>
      <c r="AN114" s="28">
        <v>1</v>
      </c>
      <c r="AO114" s="28">
        <v>0</v>
      </c>
      <c r="AP114" s="28"/>
      <c r="AQ114" s="28">
        <f t="shared" ca="1" si="3"/>
        <v>3</v>
      </c>
    </row>
    <row r="115" spans="1:43" x14ac:dyDescent="0.25">
      <c r="I115" t="s">
        <v>104</v>
      </c>
      <c r="J115">
        <v>1</v>
      </c>
      <c r="K115">
        <v>0</v>
      </c>
      <c r="L115">
        <v>0</v>
      </c>
      <c r="M115">
        <v>1</v>
      </c>
      <c r="Q115" t="s">
        <v>104</v>
      </c>
      <c r="R115">
        <v>1</v>
      </c>
      <c r="S115">
        <v>0</v>
      </c>
      <c r="T115">
        <v>0</v>
      </c>
      <c r="U115">
        <v>0</v>
      </c>
      <c r="AL115" s="28" t="str">
        <f t="shared" si="2"/>
        <v>LETTI</v>
      </c>
      <c r="AM115" s="28" t="s">
        <v>35</v>
      </c>
      <c r="AN115" s="28">
        <v>1</v>
      </c>
      <c r="AO115" s="28">
        <v>0</v>
      </c>
      <c r="AP115" s="28"/>
      <c r="AQ115" s="28">
        <f t="shared" ca="1" si="3"/>
        <v>3</v>
      </c>
    </row>
    <row r="116" spans="1:43" x14ac:dyDescent="0.25">
      <c r="I116" t="s">
        <v>94</v>
      </c>
      <c r="J116">
        <v>1</v>
      </c>
      <c r="K116">
        <v>0</v>
      </c>
      <c r="L116">
        <v>0</v>
      </c>
      <c r="M116">
        <v>1</v>
      </c>
      <c r="Q116" t="s">
        <v>94</v>
      </c>
      <c r="R116">
        <v>0</v>
      </c>
      <c r="S116">
        <v>0</v>
      </c>
      <c r="T116">
        <v>0</v>
      </c>
      <c r="U116">
        <v>0</v>
      </c>
      <c r="AL116" s="28" t="str">
        <f t="shared" si="2"/>
        <v>VITAO</v>
      </c>
      <c r="AM116" s="28" t="s">
        <v>41</v>
      </c>
      <c r="AN116" s="28">
        <v>1</v>
      </c>
      <c r="AO116" s="28">
        <v>0</v>
      </c>
      <c r="AP116" s="28"/>
      <c r="AQ116" s="28">
        <f t="shared" ca="1" si="3"/>
        <v>3</v>
      </c>
    </row>
    <row r="117" spans="1:43" x14ac:dyDescent="0.25">
      <c r="I117" t="s">
        <v>119</v>
      </c>
      <c r="J117">
        <v>0</v>
      </c>
      <c r="K117">
        <v>0</v>
      </c>
      <c r="L117">
        <v>0</v>
      </c>
      <c r="Q117" t="s">
        <v>119</v>
      </c>
      <c r="R117">
        <v>0</v>
      </c>
      <c r="S117">
        <v>0</v>
      </c>
      <c r="T117">
        <v>0</v>
      </c>
      <c r="U117">
        <v>0</v>
      </c>
      <c r="AL117" s="28" t="str">
        <f t="shared" si="2"/>
        <v>LEO</v>
      </c>
      <c r="AM117" s="28" t="s">
        <v>38</v>
      </c>
      <c r="AN117" s="28">
        <v>1</v>
      </c>
      <c r="AO117" s="28">
        <v>0</v>
      </c>
      <c r="AP117" s="28"/>
      <c r="AQ117" s="28">
        <f t="shared" ca="1" si="3"/>
        <v>3</v>
      </c>
    </row>
    <row r="118" spans="1:43" x14ac:dyDescent="0.25">
      <c r="I118" t="s">
        <v>95</v>
      </c>
      <c r="J118">
        <v>1</v>
      </c>
      <c r="K118">
        <v>0</v>
      </c>
      <c r="L118">
        <v>0</v>
      </c>
      <c r="M118">
        <v>1</v>
      </c>
      <c r="Q118" t="s">
        <v>95</v>
      </c>
      <c r="R118">
        <v>0</v>
      </c>
      <c r="S118">
        <v>0</v>
      </c>
      <c r="T118">
        <v>0</v>
      </c>
      <c r="U118">
        <v>0</v>
      </c>
      <c r="AL118" s="28" t="str">
        <f t="shared" si="2"/>
        <v>PHELPS</v>
      </c>
      <c r="AM118" s="28" t="s">
        <v>171</v>
      </c>
      <c r="AN118" s="28">
        <v>0</v>
      </c>
      <c r="AO118" s="28">
        <v>0</v>
      </c>
      <c r="AP118" s="28"/>
      <c r="AQ118" s="28">
        <f t="shared" ca="1" si="3"/>
        <v>3</v>
      </c>
    </row>
    <row r="119" spans="1:43" x14ac:dyDescent="0.25">
      <c r="I119" t="s">
        <v>102</v>
      </c>
      <c r="J119">
        <v>1</v>
      </c>
      <c r="K119">
        <v>0</v>
      </c>
      <c r="L119">
        <v>0</v>
      </c>
      <c r="M119">
        <v>1</v>
      </c>
      <c r="Q119" t="s">
        <v>113</v>
      </c>
      <c r="R119">
        <v>1</v>
      </c>
      <c r="S119">
        <v>0</v>
      </c>
      <c r="T119">
        <v>0</v>
      </c>
      <c r="U119">
        <v>0</v>
      </c>
      <c r="AL119" s="28" t="str">
        <f t="shared" si="2"/>
        <v>HANON</v>
      </c>
      <c r="AM119" s="28" t="s">
        <v>173</v>
      </c>
      <c r="AN119" s="28">
        <v>0</v>
      </c>
      <c r="AO119" s="28">
        <v>0</v>
      </c>
      <c r="AP119" s="28"/>
      <c r="AQ119" s="28">
        <f t="shared" ca="1" si="3"/>
        <v>3</v>
      </c>
    </row>
    <row r="120" spans="1:43" x14ac:dyDescent="0.25">
      <c r="AL120" s="28" t="str">
        <f t="shared" si="2"/>
        <v>NATHAN</v>
      </c>
      <c r="AM120" s="28" t="s">
        <v>167</v>
      </c>
      <c r="AN120" s="28">
        <v>1</v>
      </c>
      <c r="AO120" s="28">
        <v>1</v>
      </c>
      <c r="AP120" s="28"/>
      <c r="AQ120" s="28">
        <f t="shared" ca="1" si="3"/>
        <v>3</v>
      </c>
    </row>
    <row r="121" spans="1:43" x14ac:dyDescent="0.25">
      <c r="AL121" s="28" t="str">
        <f t="shared" si="2"/>
        <v>BORBA</v>
      </c>
      <c r="AM121" s="28" t="s">
        <v>176</v>
      </c>
      <c r="AN121" s="28">
        <v>1</v>
      </c>
      <c r="AO121" s="28">
        <v>1</v>
      </c>
      <c r="AP121" s="28"/>
      <c r="AQ121" s="28">
        <f t="shared" ca="1" si="3"/>
        <v>3</v>
      </c>
    </row>
    <row r="122" spans="1:43" x14ac:dyDescent="0.25">
      <c r="AL122" s="28" t="str">
        <f t="shared" si="2"/>
        <v>DANILIM</v>
      </c>
      <c r="AM122" s="28" t="s">
        <v>169</v>
      </c>
      <c r="AN122" s="28">
        <v>1</v>
      </c>
      <c r="AO122" s="28">
        <v>1</v>
      </c>
      <c r="AP122" s="28"/>
      <c r="AQ122" s="28">
        <f t="shared" ca="1" si="3"/>
        <v>3</v>
      </c>
    </row>
    <row r="123" spans="1:43" x14ac:dyDescent="0.25">
      <c r="AL123" s="28" t="str">
        <f t="shared" si="2"/>
        <v>PIETRO</v>
      </c>
      <c r="AM123" s="28" t="s">
        <v>175</v>
      </c>
      <c r="AN123" s="28">
        <v>1</v>
      </c>
      <c r="AO123" s="28">
        <v>1</v>
      </c>
      <c r="AP123" s="28"/>
      <c r="AQ123" s="28">
        <f t="shared" ca="1" si="3"/>
        <v>3</v>
      </c>
    </row>
    <row r="124" spans="1:43" x14ac:dyDescent="0.25">
      <c r="A124" s="20" t="s">
        <v>17</v>
      </c>
      <c r="B124" s="2">
        <v>2022</v>
      </c>
      <c r="C124" s="2" t="s">
        <v>27</v>
      </c>
      <c r="D124" s="2">
        <v>10</v>
      </c>
      <c r="E124" s="11">
        <v>3</v>
      </c>
      <c r="F124" s="2" t="s">
        <v>28</v>
      </c>
      <c r="G124" s="71" t="s">
        <v>18</v>
      </c>
      <c r="H124" s="71"/>
      <c r="I124" s="20" t="s">
        <v>16</v>
      </c>
      <c r="J124" s="2">
        <v>2022</v>
      </c>
      <c r="K124" s="2" t="s">
        <v>27</v>
      </c>
      <c r="L124" s="2">
        <v>1</v>
      </c>
      <c r="M124" s="11">
        <v>1</v>
      </c>
      <c r="N124" s="2" t="s">
        <v>28</v>
      </c>
      <c r="O124" s="71" t="s">
        <v>14</v>
      </c>
      <c r="P124" s="71"/>
      <c r="Q124" s="20" t="s">
        <v>15</v>
      </c>
      <c r="R124" s="2">
        <v>2022</v>
      </c>
      <c r="S124" s="2" t="s">
        <v>27</v>
      </c>
      <c r="T124" s="2">
        <v>4</v>
      </c>
      <c r="U124" s="2">
        <v>5</v>
      </c>
      <c r="V124" s="2" t="s">
        <v>28</v>
      </c>
      <c r="W124" s="71" t="s">
        <v>14</v>
      </c>
      <c r="X124" s="71"/>
      <c r="AL124" s="28" t="str">
        <f t="shared" si="2"/>
        <v>ZAGA</v>
      </c>
      <c r="AM124" s="28" t="s">
        <v>179</v>
      </c>
      <c r="AN124" s="28">
        <v>1</v>
      </c>
      <c r="AO124" s="28">
        <v>1</v>
      </c>
      <c r="AP124" s="28"/>
      <c r="AQ124" s="28">
        <f t="shared" ca="1" si="3"/>
        <v>3</v>
      </c>
    </row>
    <row r="125" spans="1:43" x14ac:dyDescent="0.25">
      <c r="A125" t="s">
        <v>84</v>
      </c>
      <c r="I125" t="s">
        <v>84</v>
      </c>
      <c r="Q125" t="s">
        <v>84</v>
      </c>
      <c r="AL125" s="28" t="str">
        <f t="shared" si="2"/>
        <v>ANDRÉ</v>
      </c>
      <c r="AM125" s="28" t="s">
        <v>166</v>
      </c>
      <c r="AN125" s="28">
        <v>1</v>
      </c>
      <c r="AO125" s="28">
        <v>1</v>
      </c>
      <c r="AP125" s="28"/>
      <c r="AQ125" s="28">
        <f t="shared" ca="1" si="3"/>
        <v>3</v>
      </c>
    </row>
    <row r="126" spans="1:43" x14ac:dyDescent="0.25">
      <c r="A126" t="s">
        <v>115</v>
      </c>
      <c r="B126" t="s">
        <v>85</v>
      </c>
      <c r="C126" t="s">
        <v>86</v>
      </c>
      <c r="D126" t="s">
        <v>87</v>
      </c>
      <c r="E126" t="s">
        <v>145</v>
      </c>
      <c r="I126" t="s">
        <v>115</v>
      </c>
      <c r="J126" t="s">
        <v>85</v>
      </c>
      <c r="K126" t="s">
        <v>86</v>
      </c>
      <c r="L126" t="s">
        <v>87</v>
      </c>
      <c r="M126" t="s">
        <v>145</v>
      </c>
      <c r="Q126" t="s">
        <v>115</v>
      </c>
      <c r="R126" t="s">
        <v>85</v>
      </c>
      <c r="S126" t="s">
        <v>86</v>
      </c>
      <c r="T126" t="s">
        <v>87</v>
      </c>
      <c r="U126" t="s">
        <v>145</v>
      </c>
      <c r="AL126" s="28" t="str">
        <f t="shared" si="2"/>
        <v>GLAUBER</v>
      </c>
      <c r="AM126" s="28" t="s">
        <v>40</v>
      </c>
      <c r="AN126" s="28">
        <v>1</v>
      </c>
      <c r="AO126" s="28">
        <v>1</v>
      </c>
      <c r="AP126" s="28"/>
      <c r="AQ126" s="28">
        <f t="shared" ca="1" si="3"/>
        <v>3</v>
      </c>
    </row>
    <row r="127" spans="1:43" x14ac:dyDescent="0.25">
      <c r="A127" t="s">
        <v>55</v>
      </c>
      <c r="B127">
        <v>1</v>
      </c>
      <c r="C127">
        <v>0</v>
      </c>
      <c r="D127">
        <v>0</v>
      </c>
      <c r="E127">
        <v>0</v>
      </c>
      <c r="I127" t="s">
        <v>104</v>
      </c>
      <c r="J127">
        <v>1</v>
      </c>
      <c r="K127">
        <v>0</v>
      </c>
      <c r="L127">
        <v>0</v>
      </c>
      <c r="M127">
        <v>0</v>
      </c>
      <c r="Q127" t="s">
        <v>55</v>
      </c>
      <c r="R127">
        <v>1</v>
      </c>
      <c r="S127">
        <v>1</v>
      </c>
      <c r="T127">
        <v>0</v>
      </c>
      <c r="U127">
        <v>1</v>
      </c>
      <c r="AL127" s="28" t="str">
        <f t="shared" si="2"/>
        <v>DERECK</v>
      </c>
      <c r="AM127" s="28" t="s">
        <v>177</v>
      </c>
      <c r="AN127" s="28">
        <v>0</v>
      </c>
      <c r="AO127" s="28">
        <v>0</v>
      </c>
      <c r="AP127" s="28"/>
      <c r="AQ127" s="28">
        <f t="shared" ca="1" si="3"/>
        <v>3</v>
      </c>
    </row>
    <row r="128" spans="1:43" x14ac:dyDescent="0.25">
      <c r="A128" t="s">
        <v>120</v>
      </c>
      <c r="B128">
        <v>1</v>
      </c>
      <c r="C128">
        <v>0</v>
      </c>
      <c r="D128">
        <v>0</v>
      </c>
      <c r="E128">
        <v>0</v>
      </c>
      <c r="I128" t="s">
        <v>94</v>
      </c>
      <c r="J128">
        <v>1</v>
      </c>
      <c r="K128">
        <v>0</v>
      </c>
      <c r="L128">
        <v>0</v>
      </c>
      <c r="M128">
        <v>0</v>
      </c>
      <c r="Q128" t="s">
        <v>120</v>
      </c>
      <c r="R128">
        <v>1</v>
      </c>
      <c r="S128">
        <v>0</v>
      </c>
      <c r="T128">
        <v>0</v>
      </c>
      <c r="U128">
        <v>1</v>
      </c>
      <c r="AL128" s="28" t="str">
        <f t="shared" si="2"/>
        <v>BERNA</v>
      </c>
      <c r="AM128" s="28" t="s">
        <v>180</v>
      </c>
      <c r="AN128" s="28">
        <v>0</v>
      </c>
      <c r="AO128" s="28">
        <v>0</v>
      </c>
      <c r="AP128" s="28"/>
      <c r="AQ128" s="28">
        <f t="shared" ca="1" si="3"/>
        <v>3</v>
      </c>
    </row>
    <row r="129" spans="1:43" x14ac:dyDescent="0.25">
      <c r="A129" t="s">
        <v>121</v>
      </c>
      <c r="B129">
        <v>1</v>
      </c>
      <c r="C129">
        <v>0</v>
      </c>
      <c r="D129">
        <v>0</v>
      </c>
      <c r="E129">
        <v>0</v>
      </c>
      <c r="I129" t="s">
        <v>88</v>
      </c>
      <c r="J129">
        <v>1</v>
      </c>
      <c r="K129">
        <v>0</v>
      </c>
      <c r="L129">
        <v>0</v>
      </c>
      <c r="M129">
        <v>0</v>
      </c>
      <c r="Q129" t="s">
        <v>121</v>
      </c>
      <c r="R129">
        <v>1</v>
      </c>
      <c r="S129">
        <v>0</v>
      </c>
      <c r="T129">
        <v>0</v>
      </c>
      <c r="U129">
        <v>1</v>
      </c>
      <c r="AL129" s="28" t="str">
        <f t="shared" si="2"/>
        <v>KRETZER</v>
      </c>
      <c r="AM129" s="28" t="s">
        <v>163</v>
      </c>
      <c r="AN129" s="28">
        <v>1</v>
      </c>
      <c r="AO129" s="28">
        <v>0</v>
      </c>
      <c r="AP129" s="28"/>
      <c r="AQ129" s="28">
        <f t="shared" ca="1" si="3"/>
        <v>3</v>
      </c>
    </row>
    <row r="130" spans="1:43" x14ac:dyDescent="0.25">
      <c r="A130" t="s">
        <v>54</v>
      </c>
      <c r="B130">
        <v>1</v>
      </c>
      <c r="C130">
        <v>1</v>
      </c>
      <c r="D130">
        <v>0</v>
      </c>
      <c r="E130">
        <v>0</v>
      </c>
      <c r="I130" t="s">
        <v>93</v>
      </c>
      <c r="J130">
        <v>1</v>
      </c>
      <c r="K130">
        <v>0</v>
      </c>
      <c r="L130">
        <v>0</v>
      </c>
      <c r="M130">
        <v>0</v>
      </c>
      <c r="Q130" t="s">
        <v>54</v>
      </c>
      <c r="R130">
        <v>1</v>
      </c>
      <c r="S130">
        <v>1</v>
      </c>
      <c r="T130">
        <v>1</v>
      </c>
      <c r="U130">
        <v>1</v>
      </c>
      <c r="AL130" s="28" t="str">
        <f t="shared" si="2"/>
        <v>FANTA</v>
      </c>
      <c r="AM130" s="28" t="s">
        <v>37</v>
      </c>
      <c r="AN130" s="28">
        <v>1</v>
      </c>
      <c r="AO130" s="28">
        <v>0</v>
      </c>
      <c r="AP130" s="28"/>
      <c r="AQ130" s="28">
        <f t="shared" ca="1" si="3"/>
        <v>3</v>
      </c>
    </row>
    <row r="131" spans="1:43" x14ac:dyDescent="0.25">
      <c r="A131" t="s">
        <v>51</v>
      </c>
      <c r="B131">
        <v>1</v>
      </c>
      <c r="C131">
        <v>1</v>
      </c>
      <c r="D131">
        <v>1</v>
      </c>
      <c r="E131">
        <v>0</v>
      </c>
      <c r="I131" t="s">
        <v>111</v>
      </c>
      <c r="J131">
        <v>1</v>
      </c>
      <c r="K131">
        <v>0</v>
      </c>
      <c r="L131">
        <v>1</v>
      </c>
      <c r="M131">
        <v>0</v>
      </c>
      <c r="Q131" t="s">
        <v>51</v>
      </c>
      <c r="R131">
        <v>1</v>
      </c>
      <c r="S131">
        <v>1</v>
      </c>
      <c r="T131">
        <v>1</v>
      </c>
      <c r="U131">
        <v>1</v>
      </c>
      <c r="AL131" s="28" t="str">
        <f t="shared" si="2"/>
        <v>GAROPA</v>
      </c>
      <c r="AM131" s="28" t="s">
        <v>43</v>
      </c>
      <c r="AN131" s="28">
        <v>1</v>
      </c>
      <c r="AO131" s="28">
        <v>0</v>
      </c>
      <c r="AP131" s="28"/>
      <c r="AQ131" s="28">
        <f t="shared" ca="1" si="3"/>
        <v>3</v>
      </c>
    </row>
    <row r="132" spans="1:43" x14ac:dyDescent="0.25">
      <c r="A132" t="s">
        <v>122</v>
      </c>
      <c r="B132">
        <v>1</v>
      </c>
      <c r="C132">
        <v>0</v>
      </c>
      <c r="D132">
        <v>0</v>
      </c>
      <c r="E132">
        <v>0</v>
      </c>
      <c r="I132" t="s">
        <v>101</v>
      </c>
      <c r="J132">
        <v>1</v>
      </c>
      <c r="K132">
        <v>0</v>
      </c>
      <c r="L132">
        <v>0</v>
      </c>
      <c r="M132">
        <v>0</v>
      </c>
      <c r="Q132" t="s">
        <v>122</v>
      </c>
      <c r="R132">
        <v>1</v>
      </c>
      <c r="S132">
        <v>0</v>
      </c>
      <c r="T132">
        <v>1</v>
      </c>
      <c r="U132">
        <v>1</v>
      </c>
      <c r="AL132" s="28" t="str">
        <f t="shared" si="2"/>
        <v>LETTI</v>
      </c>
      <c r="AM132" s="28" t="s">
        <v>35</v>
      </c>
      <c r="AN132" s="28">
        <v>1</v>
      </c>
      <c r="AO132" s="28">
        <v>0</v>
      </c>
      <c r="AP132" s="28"/>
      <c r="AQ132" s="28">
        <f t="shared" ca="1" si="3"/>
        <v>3</v>
      </c>
    </row>
    <row r="133" spans="1:43" x14ac:dyDescent="0.25">
      <c r="A133" t="s">
        <v>99</v>
      </c>
      <c r="B133">
        <v>1</v>
      </c>
      <c r="C133">
        <v>1</v>
      </c>
      <c r="D133">
        <v>0</v>
      </c>
      <c r="E133">
        <v>0</v>
      </c>
      <c r="I133" t="s">
        <v>99</v>
      </c>
      <c r="J133">
        <v>1</v>
      </c>
      <c r="K133">
        <v>1</v>
      </c>
      <c r="L133">
        <v>0</v>
      </c>
      <c r="M133">
        <v>0</v>
      </c>
      <c r="Q133" t="s">
        <v>99</v>
      </c>
      <c r="R133">
        <v>1</v>
      </c>
      <c r="S133">
        <v>2</v>
      </c>
      <c r="T133">
        <v>0</v>
      </c>
      <c r="U133">
        <v>1</v>
      </c>
      <c r="AL133" s="28" t="str">
        <f t="shared" si="2"/>
        <v>VITAO</v>
      </c>
      <c r="AM133" s="28" t="s">
        <v>41</v>
      </c>
      <c r="AN133" s="28">
        <v>1</v>
      </c>
      <c r="AO133" s="28">
        <v>0</v>
      </c>
      <c r="AP133" s="28"/>
      <c r="AQ133" s="28">
        <f t="shared" ca="1" si="3"/>
        <v>3</v>
      </c>
    </row>
    <row r="134" spans="1:43" x14ac:dyDescent="0.25">
      <c r="A134" t="s">
        <v>119</v>
      </c>
      <c r="B134">
        <v>0</v>
      </c>
      <c r="C134">
        <v>0</v>
      </c>
      <c r="D134">
        <v>0</v>
      </c>
      <c r="E134">
        <v>0</v>
      </c>
      <c r="I134" t="s">
        <v>119</v>
      </c>
      <c r="J134">
        <v>0</v>
      </c>
      <c r="K134">
        <v>0</v>
      </c>
      <c r="L134">
        <v>0</v>
      </c>
      <c r="M134">
        <v>0</v>
      </c>
      <c r="Q134" t="s">
        <v>119</v>
      </c>
      <c r="R134">
        <v>0</v>
      </c>
      <c r="S134">
        <v>0</v>
      </c>
      <c r="T134">
        <v>0</v>
      </c>
      <c r="U134">
        <v>0</v>
      </c>
      <c r="AL134" s="28" t="str">
        <f t="shared" si="2"/>
        <v>LEO</v>
      </c>
      <c r="AM134" s="28" t="s">
        <v>38</v>
      </c>
      <c r="AN134" s="28">
        <v>1</v>
      </c>
      <c r="AO134" s="28">
        <v>0</v>
      </c>
      <c r="AP134" s="28"/>
      <c r="AQ134" s="28">
        <f t="shared" ca="1" si="3"/>
        <v>3</v>
      </c>
    </row>
    <row r="135" spans="1:43" x14ac:dyDescent="0.25">
      <c r="A135" t="s">
        <v>124</v>
      </c>
      <c r="B135">
        <v>0</v>
      </c>
      <c r="C135">
        <v>0</v>
      </c>
      <c r="D135">
        <v>0</v>
      </c>
      <c r="E135">
        <v>0</v>
      </c>
      <c r="I135" t="s">
        <v>124</v>
      </c>
      <c r="J135">
        <v>0</v>
      </c>
      <c r="K135">
        <v>0</v>
      </c>
      <c r="L135">
        <v>0</v>
      </c>
      <c r="M135">
        <v>0</v>
      </c>
      <c r="Q135" t="s">
        <v>124</v>
      </c>
      <c r="R135">
        <v>0</v>
      </c>
      <c r="S135">
        <v>0</v>
      </c>
      <c r="T135">
        <v>0</v>
      </c>
      <c r="U135">
        <v>0</v>
      </c>
      <c r="AL135" s="28" t="str">
        <f t="shared" si="2"/>
        <v>DEREK</v>
      </c>
      <c r="AM135" s="28" t="s">
        <v>182</v>
      </c>
      <c r="AN135" s="28">
        <v>0</v>
      </c>
      <c r="AO135" s="28">
        <v>0</v>
      </c>
      <c r="AP135" s="28"/>
      <c r="AQ135" s="28">
        <f t="shared" ca="1" si="3"/>
        <v>3</v>
      </c>
    </row>
    <row r="136" spans="1:43" x14ac:dyDescent="0.25">
      <c r="A136" t="s">
        <v>157</v>
      </c>
      <c r="Q136" t="s">
        <v>157</v>
      </c>
      <c r="U136">
        <v>1</v>
      </c>
      <c r="AL136" s="28" t="str">
        <f t="shared" si="2"/>
        <v>PHELPS</v>
      </c>
      <c r="AM136" s="28" t="s">
        <v>171</v>
      </c>
      <c r="AN136" s="28">
        <v>1</v>
      </c>
      <c r="AO136" s="28">
        <v>0</v>
      </c>
      <c r="AP136" s="28"/>
      <c r="AQ136" s="28">
        <f t="shared" ca="1" si="3"/>
        <v>3</v>
      </c>
    </row>
    <row r="137" spans="1:43" x14ac:dyDescent="0.25">
      <c r="A137" t="s">
        <v>83</v>
      </c>
      <c r="I137" t="s">
        <v>83</v>
      </c>
      <c r="Q137" t="s">
        <v>83</v>
      </c>
      <c r="AL137" s="28" t="str">
        <f t="shared" si="2"/>
        <v>HANON</v>
      </c>
      <c r="AM137" s="28" t="s">
        <v>173</v>
      </c>
      <c r="AN137" s="28">
        <v>0</v>
      </c>
      <c r="AO137" s="28">
        <v>0</v>
      </c>
      <c r="AP137" s="28"/>
      <c r="AQ137" s="28">
        <f t="shared" ca="1" si="3"/>
        <v>3</v>
      </c>
    </row>
    <row r="138" spans="1:43" x14ac:dyDescent="0.25">
      <c r="A138" t="s">
        <v>115</v>
      </c>
      <c r="B138" t="s">
        <v>85</v>
      </c>
      <c r="C138" t="s">
        <v>86</v>
      </c>
      <c r="D138" t="s">
        <v>87</v>
      </c>
      <c r="I138" t="s">
        <v>115</v>
      </c>
      <c r="J138" t="s">
        <v>85</v>
      </c>
      <c r="K138" t="s">
        <v>86</v>
      </c>
      <c r="L138" t="s">
        <v>87</v>
      </c>
      <c r="Q138" t="s">
        <v>115</v>
      </c>
      <c r="R138" t="s">
        <v>85</v>
      </c>
      <c r="S138" t="s">
        <v>86</v>
      </c>
      <c r="T138" t="s">
        <v>87</v>
      </c>
      <c r="AL138" s="28" t="str">
        <f t="shared" si="2"/>
        <v>GLAUBER</v>
      </c>
      <c r="AM138" s="28" t="s">
        <v>40</v>
      </c>
      <c r="AN138" s="28">
        <v>1</v>
      </c>
      <c r="AO138" s="28">
        <v>1</v>
      </c>
      <c r="AP138" s="28"/>
      <c r="AQ138" s="28">
        <f t="shared" ca="1" si="3"/>
        <v>3</v>
      </c>
    </row>
    <row r="139" spans="1:43" x14ac:dyDescent="0.25">
      <c r="A139" t="s">
        <v>91</v>
      </c>
      <c r="B139">
        <v>1</v>
      </c>
      <c r="C139">
        <v>0</v>
      </c>
      <c r="D139">
        <v>0</v>
      </c>
      <c r="E139">
        <v>1</v>
      </c>
      <c r="I139" t="s">
        <v>125</v>
      </c>
      <c r="J139">
        <v>1</v>
      </c>
      <c r="K139">
        <v>0</v>
      </c>
      <c r="L139">
        <v>0</v>
      </c>
      <c r="M139">
        <v>0</v>
      </c>
      <c r="Q139" t="s">
        <v>128</v>
      </c>
      <c r="R139">
        <v>1</v>
      </c>
      <c r="S139">
        <v>0</v>
      </c>
      <c r="T139">
        <v>0</v>
      </c>
      <c r="U139">
        <v>0</v>
      </c>
      <c r="AL139" s="28" t="str">
        <f t="shared" si="2"/>
        <v>GAROPA</v>
      </c>
      <c r="AM139" s="28" t="s">
        <v>43</v>
      </c>
      <c r="AN139" s="28">
        <v>1</v>
      </c>
      <c r="AO139" s="28">
        <v>1</v>
      </c>
      <c r="AP139" s="28"/>
      <c r="AQ139" s="28">
        <f t="shared" ca="1" si="3"/>
        <v>3</v>
      </c>
    </row>
    <row r="140" spans="1:43" x14ac:dyDescent="0.25">
      <c r="A140" t="s">
        <v>96</v>
      </c>
      <c r="B140">
        <v>1</v>
      </c>
      <c r="C140">
        <v>1</v>
      </c>
      <c r="D140">
        <v>1</v>
      </c>
      <c r="E140">
        <v>1</v>
      </c>
      <c r="I140" t="s">
        <v>96</v>
      </c>
      <c r="J140">
        <v>1</v>
      </c>
      <c r="K140">
        <v>0</v>
      </c>
      <c r="L140">
        <v>0</v>
      </c>
      <c r="M140">
        <v>0</v>
      </c>
      <c r="Q140" t="s">
        <v>56</v>
      </c>
      <c r="R140">
        <v>1</v>
      </c>
      <c r="S140">
        <v>0</v>
      </c>
      <c r="T140">
        <v>0</v>
      </c>
      <c r="U140">
        <v>0</v>
      </c>
      <c r="AL140" s="28" t="str">
        <f t="shared" si="2"/>
        <v>NATHAN</v>
      </c>
      <c r="AM140" s="28" t="s">
        <v>167</v>
      </c>
      <c r="AN140" s="28">
        <v>0</v>
      </c>
      <c r="AO140" s="28">
        <v>0</v>
      </c>
      <c r="AP140" s="28"/>
      <c r="AQ140" s="28">
        <f t="shared" ca="1" si="3"/>
        <v>3</v>
      </c>
    </row>
    <row r="141" spans="1:43" x14ac:dyDescent="0.25">
      <c r="A141" t="s">
        <v>118</v>
      </c>
      <c r="B141">
        <v>1</v>
      </c>
      <c r="C141">
        <v>9</v>
      </c>
      <c r="D141">
        <v>0</v>
      </c>
      <c r="E141">
        <v>1</v>
      </c>
      <c r="I141" t="s">
        <v>118</v>
      </c>
      <c r="J141">
        <v>1</v>
      </c>
      <c r="K141">
        <v>0</v>
      </c>
      <c r="L141">
        <v>0</v>
      </c>
      <c r="M141">
        <v>0</v>
      </c>
      <c r="Q141" t="s">
        <v>126</v>
      </c>
      <c r="R141">
        <v>1</v>
      </c>
      <c r="S141">
        <v>0</v>
      </c>
      <c r="T141">
        <v>0</v>
      </c>
      <c r="U141">
        <v>0</v>
      </c>
      <c r="AL141" s="28" t="str">
        <f t="shared" si="2"/>
        <v>LEO</v>
      </c>
      <c r="AM141" s="28" t="s">
        <v>38</v>
      </c>
      <c r="AN141" s="28">
        <v>1</v>
      </c>
      <c r="AO141" s="28">
        <v>1</v>
      </c>
      <c r="AP141" s="28"/>
      <c r="AQ141" s="28">
        <f t="shared" ca="1" si="3"/>
        <v>3</v>
      </c>
    </row>
    <row r="142" spans="1:43" x14ac:dyDescent="0.25">
      <c r="A142" t="s">
        <v>98</v>
      </c>
      <c r="B142">
        <v>1</v>
      </c>
      <c r="C142">
        <v>0</v>
      </c>
      <c r="D142">
        <v>0</v>
      </c>
      <c r="E142">
        <v>1</v>
      </c>
      <c r="I142" t="s">
        <v>98</v>
      </c>
      <c r="J142">
        <v>1</v>
      </c>
      <c r="K142">
        <v>0</v>
      </c>
      <c r="L142">
        <v>1</v>
      </c>
      <c r="M142">
        <v>0</v>
      </c>
      <c r="Q142" t="s">
        <v>49</v>
      </c>
      <c r="R142">
        <v>1</v>
      </c>
      <c r="S142">
        <v>1</v>
      </c>
      <c r="T142">
        <v>1</v>
      </c>
      <c r="U142">
        <v>0</v>
      </c>
      <c r="AL142" s="28" t="str">
        <f t="shared" si="2"/>
        <v>BORBA</v>
      </c>
      <c r="AM142" s="28" t="s">
        <v>176</v>
      </c>
      <c r="AN142" s="28">
        <v>1</v>
      </c>
      <c r="AO142" s="28">
        <v>1</v>
      </c>
      <c r="AP142" s="28"/>
      <c r="AQ142" s="28">
        <f t="shared" ca="1" si="3"/>
        <v>3</v>
      </c>
    </row>
    <row r="143" spans="1:43" x14ac:dyDescent="0.25">
      <c r="A143" t="s">
        <v>103</v>
      </c>
      <c r="B143">
        <v>1</v>
      </c>
      <c r="C143">
        <v>0</v>
      </c>
      <c r="D143">
        <v>0</v>
      </c>
      <c r="E143">
        <v>1</v>
      </c>
      <c r="I143" t="s">
        <v>103</v>
      </c>
      <c r="J143">
        <v>1</v>
      </c>
      <c r="K143">
        <v>0</v>
      </c>
      <c r="L143">
        <v>0</v>
      </c>
      <c r="M143">
        <v>0</v>
      </c>
      <c r="Q143" t="s">
        <v>46</v>
      </c>
      <c r="R143">
        <v>1</v>
      </c>
      <c r="S143">
        <v>2</v>
      </c>
      <c r="T143">
        <v>2</v>
      </c>
      <c r="U143">
        <v>0</v>
      </c>
      <c r="AL143" s="28" t="str">
        <f t="shared" si="2"/>
        <v>GORDO</v>
      </c>
      <c r="AM143" s="28" t="s">
        <v>174</v>
      </c>
      <c r="AN143" s="28">
        <v>0</v>
      </c>
      <c r="AO143" s="28">
        <v>0</v>
      </c>
      <c r="AP143" s="28"/>
      <c r="AQ143" s="28">
        <f t="shared" ca="1" si="3"/>
        <v>3</v>
      </c>
    </row>
    <row r="144" spans="1:43" x14ac:dyDescent="0.25">
      <c r="A144" t="s">
        <v>109</v>
      </c>
      <c r="B144">
        <v>1</v>
      </c>
      <c r="C144">
        <v>0</v>
      </c>
      <c r="D144">
        <v>0</v>
      </c>
      <c r="E144">
        <v>1</v>
      </c>
      <c r="I144" t="s">
        <v>109</v>
      </c>
      <c r="J144">
        <v>1</v>
      </c>
      <c r="K144">
        <v>1</v>
      </c>
      <c r="L144">
        <v>0</v>
      </c>
      <c r="M144">
        <v>0</v>
      </c>
      <c r="Q144" t="s">
        <v>48</v>
      </c>
      <c r="R144">
        <v>1</v>
      </c>
      <c r="S144">
        <v>1</v>
      </c>
      <c r="T144">
        <v>0</v>
      </c>
      <c r="U144">
        <v>0</v>
      </c>
      <c r="AL144" s="28" t="str">
        <f t="shared" si="2"/>
        <v>FANTA</v>
      </c>
      <c r="AM144" s="28" t="s">
        <v>37</v>
      </c>
      <c r="AN144" s="28">
        <v>1</v>
      </c>
      <c r="AO144" s="28">
        <v>1</v>
      </c>
      <c r="AP144" s="28"/>
      <c r="AQ144" s="28">
        <f t="shared" ca="1" si="3"/>
        <v>3</v>
      </c>
    </row>
    <row r="145" spans="1:43" x14ac:dyDescent="0.25">
      <c r="A145" t="s">
        <v>90</v>
      </c>
      <c r="B145">
        <v>1</v>
      </c>
      <c r="C145">
        <v>0</v>
      </c>
      <c r="D145">
        <v>0</v>
      </c>
      <c r="E145">
        <v>1</v>
      </c>
      <c r="I145" t="s">
        <v>90</v>
      </c>
      <c r="J145">
        <v>0</v>
      </c>
      <c r="K145">
        <v>0</v>
      </c>
      <c r="L145">
        <v>0</v>
      </c>
      <c r="M145">
        <v>0</v>
      </c>
      <c r="Q145" t="s">
        <v>123</v>
      </c>
      <c r="R145">
        <v>0</v>
      </c>
      <c r="S145">
        <v>0</v>
      </c>
      <c r="T145">
        <v>0</v>
      </c>
      <c r="U145">
        <v>0</v>
      </c>
      <c r="AL145" s="28" t="str">
        <f t="shared" si="2"/>
        <v>ANDRÉ</v>
      </c>
      <c r="AM145" s="28" t="s">
        <v>166</v>
      </c>
      <c r="AN145" s="28">
        <v>1</v>
      </c>
      <c r="AO145" s="28">
        <v>1</v>
      </c>
      <c r="AP145" s="28"/>
      <c r="AQ145" s="28">
        <f t="shared" ca="1" si="3"/>
        <v>3</v>
      </c>
    </row>
    <row r="146" spans="1:43" x14ac:dyDescent="0.25">
      <c r="A146" t="s">
        <v>92</v>
      </c>
      <c r="B146">
        <v>1</v>
      </c>
      <c r="C146">
        <v>0</v>
      </c>
      <c r="D146">
        <v>1</v>
      </c>
      <c r="E146">
        <v>1</v>
      </c>
      <c r="I146" t="s">
        <v>92</v>
      </c>
      <c r="J146">
        <v>0</v>
      </c>
      <c r="K146">
        <v>0</v>
      </c>
      <c r="L146">
        <v>0</v>
      </c>
      <c r="M146">
        <v>0</v>
      </c>
      <c r="Q146" t="s">
        <v>127</v>
      </c>
      <c r="R146">
        <v>1</v>
      </c>
      <c r="S146">
        <v>0</v>
      </c>
      <c r="T146">
        <v>0</v>
      </c>
      <c r="U146">
        <v>0</v>
      </c>
      <c r="AL146" s="28" t="str">
        <f t="shared" si="2"/>
        <v>LETTI</v>
      </c>
      <c r="AM146" s="28" t="s">
        <v>35</v>
      </c>
      <c r="AN146" s="28">
        <v>1</v>
      </c>
      <c r="AO146" s="28">
        <v>0</v>
      </c>
      <c r="AP146" s="28"/>
      <c r="AQ146" s="28">
        <f t="shared" ca="1" si="3"/>
        <v>3</v>
      </c>
    </row>
    <row r="147" spans="1:43" x14ac:dyDescent="0.25">
      <c r="A147" t="s">
        <v>128</v>
      </c>
      <c r="B147">
        <v>1</v>
      </c>
      <c r="C147">
        <v>0</v>
      </c>
      <c r="D147">
        <v>0</v>
      </c>
      <c r="E147">
        <v>1</v>
      </c>
      <c r="Q147" t="s">
        <v>58</v>
      </c>
      <c r="R147">
        <v>0</v>
      </c>
      <c r="S147">
        <v>0</v>
      </c>
      <c r="T147">
        <v>0</v>
      </c>
      <c r="U147">
        <v>0</v>
      </c>
      <c r="AL147" s="28" t="str">
        <f t="shared" si="2"/>
        <v>DANILIM</v>
      </c>
      <c r="AM147" s="28" t="s">
        <v>169</v>
      </c>
      <c r="AN147" s="28">
        <v>1</v>
      </c>
      <c r="AO147" s="28">
        <v>0</v>
      </c>
      <c r="AP147" s="28"/>
      <c r="AQ147" s="28">
        <f t="shared" ca="1" si="3"/>
        <v>3</v>
      </c>
    </row>
    <row r="148" spans="1:43" x14ac:dyDescent="0.25">
      <c r="A148" t="s">
        <v>156</v>
      </c>
      <c r="E148">
        <v>1</v>
      </c>
      <c r="Q148" t="s">
        <v>156</v>
      </c>
      <c r="AL148" s="28" t="str">
        <f t="shared" si="2"/>
        <v>DEREKA</v>
      </c>
      <c r="AM148" s="28" t="s">
        <v>183</v>
      </c>
      <c r="AN148" s="28">
        <v>0</v>
      </c>
      <c r="AO148" s="28">
        <v>0</v>
      </c>
      <c r="AP148" s="28"/>
      <c r="AQ148" s="28">
        <f t="shared" ca="1" si="3"/>
        <v>3</v>
      </c>
    </row>
    <row r="149" spans="1:43" x14ac:dyDescent="0.25">
      <c r="AL149" s="28" t="str">
        <f t="shared" si="2"/>
        <v>ZAGA</v>
      </c>
      <c r="AM149" s="28" t="s">
        <v>179</v>
      </c>
      <c r="AN149" s="28">
        <v>1</v>
      </c>
      <c r="AO149" s="28">
        <v>0</v>
      </c>
      <c r="AP149" s="28"/>
      <c r="AQ149" s="28">
        <f t="shared" ca="1" si="3"/>
        <v>3</v>
      </c>
    </row>
    <row r="150" spans="1:43" x14ac:dyDescent="0.25">
      <c r="A150" s="27" t="s">
        <v>11</v>
      </c>
      <c r="B150" s="2">
        <v>2021</v>
      </c>
      <c r="C150" s="2" t="s">
        <v>25</v>
      </c>
      <c r="D150" s="2">
        <v>6</v>
      </c>
      <c r="E150" s="2">
        <v>9</v>
      </c>
      <c r="F150" s="2" t="s">
        <v>26</v>
      </c>
      <c r="I150" s="27" t="s">
        <v>13</v>
      </c>
      <c r="J150" s="2">
        <v>2021</v>
      </c>
      <c r="K150" s="2" t="s">
        <v>25</v>
      </c>
      <c r="L150" s="2">
        <v>10</v>
      </c>
      <c r="M150" s="2">
        <v>10</v>
      </c>
      <c r="N150" s="2" t="s">
        <v>26</v>
      </c>
      <c r="Q150" s="27" t="s">
        <v>11</v>
      </c>
      <c r="R150" s="2">
        <v>2020</v>
      </c>
      <c r="S150" s="2" t="s">
        <v>25</v>
      </c>
      <c r="T150" s="2">
        <v>6</v>
      </c>
      <c r="U150" s="2">
        <v>7</v>
      </c>
      <c r="V150" s="2" t="s">
        <v>26</v>
      </c>
      <c r="AL150" s="28" t="str">
        <f t="shared" si="2"/>
        <v>KRETZER</v>
      </c>
      <c r="AM150" s="28" t="s">
        <v>163</v>
      </c>
      <c r="AN150" s="28">
        <v>1</v>
      </c>
      <c r="AO150" s="28">
        <v>0</v>
      </c>
      <c r="AP150" s="28"/>
      <c r="AQ150" s="28">
        <f t="shared" ca="1" si="3"/>
        <v>3</v>
      </c>
    </row>
    <row r="151" spans="1:43" x14ac:dyDescent="0.25">
      <c r="A151" t="s">
        <v>152</v>
      </c>
      <c r="I151" t="s">
        <v>152</v>
      </c>
      <c r="Q151" t="s">
        <v>162</v>
      </c>
      <c r="AL151" s="28" t="str">
        <f t="shared" si="2"/>
        <v>PHELPS</v>
      </c>
      <c r="AM151" s="28" t="s">
        <v>171</v>
      </c>
      <c r="AN151" s="28">
        <v>1</v>
      </c>
      <c r="AO151" s="28">
        <v>0</v>
      </c>
      <c r="AP151" s="28"/>
      <c r="AQ151" s="28">
        <f t="shared" ca="1" si="3"/>
        <v>3</v>
      </c>
    </row>
    <row r="152" spans="1:43" x14ac:dyDescent="0.25">
      <c r="Q152" t="s">
        <v>115</v>
      </c>
      <c r="R152" t="s">
        <v>85</v>
      </c>
      <c r="S152" t="s">
        <v>145</v>
      </c>
      <c r="AL152" s="24" t="str">
        <f t="shared" si="2"/>
        <v>MINI DEREK</v>
      </c>
      <c r="AM152" s="24" t="s">
        <v>185</v>
      </c>
      <c r="AN152" s="24">
        <v>1</v>
      </c>
      <c r="AO152" s="24">
        <v>0</v>
      </c>
      <c r="AP152" s="24" t="s">
        <v>185</v>
      </c>
      <c r="AQ152" s="24">
        <f ca="1">SUMIF($AM$7:$AM$186,"MINI DEREK",$AO$7:$AO$185)</f>
        <v>1</v>
      </c>
    </row>
    <row r="153" spans="1:43" x14ac:dyDescent="0.25">
      <c r="A153" t="s">
        <v>115</v>
      </c>
      <c r="B153" t="s">
        <v>85</v>
      </c>
      <c r="C153" t="s">
        <v>145</v>
      </c>
      <c r="I153" t="s">
        <v>115</v>
      </c>
      <c r="J153" t="s">
        <v>85</v>
      </c>
      <c r="K153" t="s">
        <v>145</v>
      </c>
      <c r="Q153" t="s">
        <v>98</v>
      </c>
      <c r="R153">
        <v>1</v>
      </c>
      <c r="S153">
        <v>0</v>
      </c>
      <c r="AL153" s="28" t="str">
        <f t="shared" si="2"/>
        <v>VITAO</v>
      </c>
      <c r="AM153" s="28" t="s">
        <v>41</v>
      </c>
      <c r="AN153" s="28">
        <v>1</v>
      </c>
      <c r="AO153" s="28">
        <v>0</v>
      </c>
      <c r="AP153" s="28"/>
      <c r="AQ153" s="28">
        <f t="shared" ca="1" si="3"/>
        <v>3</v>
      </c>
    </row>
    <row r="154" spans="1:43" x14ac:dyDescent="0.25">
      <c r="A154" t="s">
        <v>99</v>
      </c>
      <c r="B154">
        <v>1</v>
      </c>
      <c r="C154">
        <v>1</v>
      </c>
      <c r="I154" t="s">
        <v>104</v>
      </c>
      <c r="J154">
        <v>1</v>
      </c>
      <c r="K154">
        <v>0</v>
      </c>
      <c r="Q154" t="s">
        <v>93</v>
      </c>
      <c r="R154">
        <v>1</v>
      </c>
      <c r="S154">
        <v>0</v>
      </c>
      <c r="AL154" s="28" t="str">
        <f t="shared" si="2"/>
        <v>NATHAN</v>
      </c>
      <c r="AM154" s="28" t="s">
        <v>167</v>
      </c>
      <c r="AN154" s="28">
        <v>1</v>
      </c>
      <c r="AO154" s="28">
        <v>0</v>
      </c>
      <c r="AP154" s="28"/>
      <c r="AQ154" s="28">
        <f t="shared" ca="1" si="3"/>
        <v>3</v>
      </c>
    </row>
    <row r="155" spans="1:43" x14ac:dyDescent="0.25">
      <c r="A155" t="s">
        <v>144</v>
      </c>
      <c r="B155">
        <v>1</v>
      </c>
      <c r="C155">
        <v>1</v>
      </c>
      <c r="I155" t="s">
        <v>109</v>
      </c>
      <c r="J155">
        <v>1</v>
      </c>
      <c r="K155">
        <v>0</v>
      </c>
      <c r="Q155" t="s">
        <v>147</v>
      </c>
      <c r="R155">
        <v>1</v>
      </c>
      <c r="S155">
        <v>0</v>
      </c>
      <c r="AL155" s="28" t="str">
        <f t="shared" si="2"/>
        <v>LEO</v>
      </c>
      <c r="AM155" s="28" t="s">
        <v>38</v>
      </c>
      <c r="AN155" s="28">
        <v>1</v>
      </c>
      <c r="AO155" s="28">
        <v>0</v>
      </c>
      <c r="AP155" s="28"/>
      <c r="AQ155" s="28">
        <f t="shared" ca="1" si="3"/>
        <v>3</v>
      </c>
    </row>
    <row r="156" spans="1:43" x14ac:dyDescent="0.25">
      <c r="A156" t="s">
        <v>104</v>
      </c>
      <c r="B156">
        <v>0</v>
      </c>
      <c r="C156">
        <v>0</v>
      </c>
      <c r="I156" t="s">
        <v>154</v>
      </c>
      <c r="J156">
        <v>0</v>
      </c>
      <c r="K156">
        <v>0</v>
      </c>
      <c r="Q156" t="s">
        <v>88</v>
      </c>
      <c r="R156">
        <v>1</v>
      </c>
      <c r="S156">
        <v>0</v>
      </c>
      <c r="AL156" s="28" t="str">
        <f t="shared" ref="AL156:AL165" si="4">UPPER(AM156)</f>
        <v>MINI DEREK</v>
      </c>
      <c r="AM156" s="28" t="s">
        <v>185</v>
      </c>
      <c r="AN156" s="28">
        <v>0</v>
      </c>
      <c r="AO156" s="28">
        <v>0</v>
      </c>
      <c r="AP156" s="28"/>
      <c r="AQ156" s="28">
        <f t="shared" ca="1" si="3"/>
        <v>3</v>
      </c>
    </row>
    <row r="157" spans="1:43" x14ac:dyDescent="0.25">
      <c r="A157" t="s">
        <v>109</v>
      </c>
      <c r="B157">
        <v>1</v>
      </c>
      <c r="C157">
        <v>1</v>
      </c>
      <c r="I157" t="s">
        <v>94</v>
      </c>
      <c r="J157">
        <v>1</v>
      </c>
      <c r="K157">
        <v>0</v>
      </c>
      <c r="Q157" t="s">
        <v>148</v>
      </c>
      <c r="R157">
        <v>1</v>
      </c>
      <c r="S157">
        <v>0</v>
      </c>
      <c r="AL157" s="28" t="str">
        <f t="shared" si="4"/>
        <v>BORBA</v>
      </c>
      <c r="AM157" s="28" t="s">
        <v>176</v>
      </c>
      <c r="AN157" s="28">
        <v>1</v>
      </c>
      <c r="AO157" s="28">
        <v>0</v>
      </c>
      <c r="AP157" s="28"/>
      <c r="AQ157" s="28">
        <f t="shared" ref="AQ157:AQ185" ca="1" si="5">SUMIF($AM$7:$AM$186,"kretzer",$AO$7:$AO$185)</f>
        <v>3</v>
      </c>
    </row>
    <row r="158" spans="1:43" x14ac:dyDescent="0.25">
      <c r="A158" t="s">
        <v>94</v>
      </c>
      <c r="B158">
        <v>1</v>
      </c>
      <c r="C158">
        <v>1</v>
      </c>
      <c r="I158" t="s">
        <v>96</v>
      </c>
      <c r="J158">
        <v>1</v>
      </c>
      <c r="K158">
        <v>0</v>
      </c>
      <c r="Q158" t="s">
        <v>149</v>
      </c>
      <c r="R158">
        <v>0</v>
      </c>
      <c r="S158">
        <v>0</v>
      </c>
      <c r="AL158" s="28" t="str">
        <f t="shared" si="4"/>
        <v>FANTA</v>
      </c>
      <c r="AM158" s="28" t="s">
        <v>37</v>
      </c>
      <c r="AN158" s="28">
        <v>1</v>
      </c>
      <c r="AO158" s="28">
        <v>0</v>
      </c>
      <c r="AP158" s="28"/>
      <c r="AQ158" s="28">
        <f t="shared" ca="1" si="5"/>
        <v>3</v>
      </c>
    </row>
    <row r="159" spans="1:43" x14ac:dyDescent="0.25">
      <c r="A159" t="s">
        <v>117</v>
      </c>
      <c r="B159">
        <v>0</v>
      </c>
      <c r="C159">
        <v>0</v>
      </c>
      <c r="I159" t="s">
        <v>155</v>
      </c>
      <c r="J159">
        <v>1</v>
      </c>
      <c r="K159">
        <v>0</v>
      </c>
      <c r="Q159" t="s">
        <v>150</v>
      </c>
      <c r="R159">
        <v>0</v>
      </c>
      <c r="S159">
        <v>0</v>
      </c>
      <c r="AL159" s="28" t="str">
        <f t="shared" si="4"/>
        <v>ANDRÉ</v>
      </c>
      <c r="AM159" s="28" t="s">
        <v>166</v>
      </c>
      <c r="AN159" s="28">
        <v>1</v>
      </c>
      <c r="AO159" s="28">
        <v>0</v>
      </c>
      <c r="AP159" s="28"/>
      <c r="AQ159" s="28">
        <f t="shared" ca="1" si="5"/>
        <v>3</v>
      </c>
    </row>
    <row r="160" spans="1:43" x14ac:dyDescent="0.25">
      <c r="A160" t="s">
        <v>96</v>
      </c>
      <c r="B160">
        <v>1</v>
      </c>
      <c r="C160">
        <v>1</v>
      </c>
      <c r="I160" t="s">
        <v>92</v>
      </c>
      <c r="J160">
        <v>1</v>
      </c>
      <c r="K160">
        <v>0</v>
      </c>
      <c r="Q160" t="s">
        <v>51</v>
      </c>
      <c r="R160">
        <v>1</v>
      </c>
      <c r="S160">
        <v>0</v>
      </c>
      <c r="AL160" s="28" t="str">
        <f t="shared" si="4"/>
        <v>HANON</v>
      </c>
      <c r="AM160" s="28" t="s">
        <v>173</v>
      </c>
      <c r="AN160" s="28">
        <v>1</v>
      </c>
      <c r="AO160" s="28">
        <v>0</v>
      </c>
      <c r="AP160" s="28"/>
      <c r="AQ160" s="28">
        <f t="shared" ca="1" si="5"/>
        <v>3</v>
      </c>
    </row>
    <row r="161" spans="1:54" x14ac:dyDescent="0.25">
      <c r="A161" t="s">
        <v>155</v>
      </c>
      <c r="B161">
        <v>1</v>
      </c>
      <c r="C161">
        <v>1</v>
      </c>
      <c r="I161" t="s">
        <v>156</v>
      </c>
      <c r="J161">
        <v>1</v>
      </c>
      <c r="K161">
        <v>0</v>
      </c>
      <c r="AL161" s="28" t="str">
        <f t="shared" si="4"/>
        <v>GK CORREA</v>
      </c>
      <c r="AM161" s="28" t="s">
        <v>191</v>
      </c>
      <c r="AN161" s="28">
        <v>1</v>
      </c>
      <c r="AO161" s="28">
        <v>0</v>
      </c>
      <c r="AP161" s="28"/>
      <c r="AQ161" s="28">
        <f t="shared" ca="1" si="5"/>
        <v>3</v>
      </c>
    </row>
    <row r="162" spans="1:54" x14ac:dyDescent="0.25">
      <c r="A162" t="s">
        <v>158</v>
      </c>
      <c r="AL162" s="28" t="str">
        <f t="shared" si="4"/>
        <v>LETTI</v>
      </c>
      <c r="AM162" s="28" t="s">
        <v>35</v>
      </c>
      <c r="AN162" s="28">
        <v>1</v>
      </c>
      <c r="AO162" s="28">
        <v>1</v>
      </c>
      <c r="AP162" s="28"/>
      <c r="AQ162" s="28">
        <f t="shared" ca="1" si="5"/>
        <v>3</v>
      </c>
    </row>
    <row r="163" spans="1:54" x14ac:dyDescent="0.25">
      <c r="AL163" s="28" t="str">
        <f t="shared" si="4"/>
        <v>PIETRO</v>
      </c>
      <c r="AM163" s="28" t="s">
        <v>175</v>
      </c>
      <c r="AN163" s="28">
        <v>1</v>
      </c>
      <c r="AO163" s="28">
        <v>1</v>
      </c>
      <c r="AP163" s="28"/>
      <c r="AQ163" s="28">
        <f t="shared" ca="1" si="5"/>
        <v>3</v>
      </c>
    </row>
    <row r="164" spans="1:54" x14ac:dyDescent="0.25">
      <c r="A164" t="s">
        <v>153</v>
      </c>
      <c r="B164" t="s">
        <v>85</v>
      </c>
      <c r="C164" t="s">
        <v>145</v>
      </c>
      <c r="I164" t="s">
        <v>161</v>
      </c>
      <c r="J164" t="s">
        <v>85</v>
      </c>
      <c r="K164" t="s">
        <v>145</v>
      </c>
      <c r="Q164" t="s">
        <v>146</v>
      </c>
      <c r="AK164" t="s">
        <v>83</v>
      </c>
      <c r="AL164" s="28" t="str">
        <f t="shared" si="4"/>
        <v>DANILIM</v>
      </c>
      <c r="AM164" s="28" t="s">
        <v>169</v>
      </c>
      <c r="AN164" s="28">
        <v>1</v>
      </c>
      <c r="AO164" s="28">
        <v>1</v>
      </c>
      <c r="AP164" s="28"/>
      <c r="AQ164" s="28">
        <f t="shared" ca="1" si="5"/>
        <v>3</v>
      </c>
      <c r="AY164" t="s">
        <v>83</v>
      </c>
    </row>
    <row r="165" spans="1:54" x14ac:dyDescent="0.25">
      <c r="A165" t="s">
        <v>115</v>
      </c>
      <c r="I165" t="s">
        <v>115</v>
      </c>
      <c r="Q165" t="s">
        <v>115</v>
      </c>
      <c r="R165" t="s">
        <v>85</v>
      </c>
      <c r="S165" t="s">
        <v>145</v>
      </c>
      <c r="AK165" t="s">
        <v>115</v>
      </c>
      <c r="AL165" s="28" t="str">
        <f t="shared" si="4"/>
        <v>ZAGA</v>
      </c>
      <c r="AM165" s="28" t="s">
        <v>179</v>
      </c>
      <c r="AN165" s="28">
        <v>1</v>
      </c>
      <c r="AO165" s="28">
        <v>1</v>
      </c>
      <c r="AP165" s="28"/>
      <c r="AQ165" s="28">
        <f t="shared" ca="1" si="5"/>
        <v>3</v>
      </c>
      <c r="AR165" t="s">
        <v>85</v>
      </c>
      <c r="AS165" t="s">
        <v>86</v>
      </c>
      <c r="AT165" t="s">
        <v>87</v>
      </c>
      <c r="AY165" t="s">
        <v>115</v>
      </c>
      <c r="AZ165" t="s">
        <v>85</v>
      </c>
      <c r="BA165" t="s">
        <v>86</v>
      </c>
      <c r="BB165" t="s">
        <v>87</v>
      </c>
    </row>
    <row r="166" spans="1:54" x14ac:dyDescent="0.25">
      <c r="A166" t="s">
        <v>98</v>
      </c>
      <c r="B166">
        <v>1</v>
      </c>
      <c r="C166">
        <v>0</v>
      </c>
      <c r="I166" t="s">
        <v>98</v>
      </c>
      <c r="J166">
        <v>1</v>
      </c>
      <c r="K166">
        <v>1</v>
      </c>
      <c r="Q166" t="s">
        <v>144</v>
      </c>
      <c r="R166">
        <v>1</v>
      </c>
      <c r="S166">
        <v>1</v>
      </c>
      <c r="AL166" s="28" t="str">
        <f t="shared" ref="AL166" si="6">UPPER(AM166)</f>
        <v>VITIM</v>
      </c>
      <c r="AM166" s="28" t="s">
        <v>184</v>
      </c>
      <c r="AN166" s="28">
        <v>1</v>
      </c>
      <c r="AO166" s="28">
        <v>1</v>
      </c>
      <c r="AP166" s="28"/>
      <c r="AQ166" s="28">
        <f t="shared" ca="1" si="5"/>
        <v>3</v>
      </c>
    </row>
    <row r="167" spans="1:54" x14ac:dyDescent="0.25">
      <c r="A167" t="s">
        <v>88</v>
      </c>
      <c r="B167">
        <v>1</v>
      </c>
      <c r="C167">
        <v>0</v>
      </c>
      <c r="I167" t="s">
        <v>93</v>
      </c>
      <c r="J167">
        <v>1</v>
      </c>
      <c r="K167">
        <v>1</v>
      </c>
      <c r="Q167" t="s">
        <v>104</v>
      </c>
      <c r="R167">
        <v>1</v>
      </c>
      <c r="S167">
        <v>1</v>
      </c>
      <c r="AL167" s="28" t="str">
        <f t="shared" ref="AL167" si="7">UPPER(AM167)</f>
        <v>PHELPS</v>
      </c>
      <c r="AM167" s="28" t="s">
        <v>171</v>
      </c>
      <c r="AN167" s="28">
        <v>1</v>
      </c>
      <c r="AO167" s="28">
        <v>1</v>
      </c>
      <c r="AP167" s="28"/>
      <c r="AQ167" s="28">
        <f t="shared" ca="1" si="5"/>
        <v>3</v>
      </c>
    </row>
    <row r="168" spans="1:54" x14ac:dyDescent="0.25">
      <c r="A168" t="s">
        <v>159</v>
      </c>
      <c r="B168">
        <v>0</v>
      </c>
      <c r="C168">
        <v>0</v>
      </c>
      <c r="I168" t="s">
        <v>88</v>
      </c>
      <c r="J168">
        <v>1</v>
      </c>
      <c r="K168">
        <v>1</v>
      </c>
      <c r="Q168" t="s">
        <v>109</v>
      </c>
      <c r="R168">
        <v>1</v>
      </c>
      <c r="S168">
        <v>1</v>
      </c>
      <c r="AL168" s="28" t="str">
        <f t="shared" ref="AL168" si="8">UPPER(AM168)</f>
        <v>GLAUBER</v>
      </c>
      <c r="AM168" s="28" t="s">
        <v>40</v>
      </c>
      <c r="AN168" s="28">
        <v>1</v>
      </c>
      <c r="AO168" s="28">
        <v>1</v>
      </c>
      <c r="AP168" s="28"/>
      <c r="AQ168" s="28">
        <f t="shared" ca="1" si="5"/>
        <v>3</v>
      </c>
    </row>
    <row r="169" spans="1:54" x14ac:dyDescent="0.25">
      <c r="A169" t="s">
        <v>111</v>
      </c>
      <c r="B169">
        <v>1</v>
      </c>
      <c r="C169">
        <v>0</v>
      </c>
      <c r="I169" t="s">
        <v>111</v>
      </c>
      <c r="J169">
        <v>1</v>
      </c>
      <c r="K169">
        <v>1</v>
      </c>
      <c r="Q169" t="s">
        <v>151</v>
      </c>
      <c r="R169">
        <v>1</v>
      </c>
      <c r="S169">
        <v>1</v>
      </c>
      <c r="AL169" s="28" t="str">
        <f t="shared" ref="AL169" si="9">UPPER(AM169)</f>
        <v>GK MARUCCO</v>
      </c>
      <c r="AM169" s="28" t="s">
        <v>192</v>
      </c>
      <c r="AN169" s="28">
        <v>1</v>
      </c>
      <c r="AO169" s="28">
        <v>1</v>
      </c>
      <c r="AP169" s="28"/>
      <c r="AQ169" s="28">
        <f t="shared" ca="1" si="5"/>
        <v>3</v>
      </c>
    </row>
    <row r="170" spans="1:54" x14ac:dyDescent="0.25">
      <c r="A170" t="s">
        <v>150</v>
      </c>
      <c r="B170">
        <v>1</v>
      </c>
      <c r="C170">
        <v>0</v>
      </c>
      <c r="I170" t="s">
        <v>150</v>
      </c>
      <c r="J170">
        <v>1</v>
      </c>
      <c r="K170">
        <v>1</v>
      </c>
      <c r="Q170" t="s">
        <v>94</v>
      </c>
      <c r="R170">
        <v>1</v>
      </c>
      <c r="S170">
        <v>1</v>
      </c>
      <c r="AL170" s="28" t="str">
        <f t="shared" ref="AL170" si="10">UPPER(AM170)</f>
        <v>LETTI</v>
      </c>
      <c r="AM170" s="28" t="s">
        <v>35</v>
      </c>
      <c r="AN170" s="28">
        <v>1</v>
      </c>
      <c r="AO170" s="28">
        <v>0</v>
      </c>
      <c r="AP170" s="28"/>
      <c r="AQ170" s="28">
        <f t="shared" ca="1" si="5"/>
        <v>3</v>
      </c>
    </row>
    <row r="171" spans="1:54" x14ac:dyDescent="0.25">
      <c r="A171" t="s">
        <v>90</v>
      </c>
      <c r="B171">
        <v>1</v>
      </c>
      <c r="C171">
        <v>0</v>
      </c>
      <c r="I171" t="s">
        <v>90</v>
      </c>
      <c r="J171">
        <v>1</v>
      </c>
      <c r="K171">
        <v>1</v>
      </c>
      <c r="Q171" t="s">
        <v>96</v>
      </c>
      <c r="R171">
        <v>1</v>
      </c>
      <c r="S171">
        <v>1</v>
      </c>
      <c r="AL171" s="28" t="str">
        <f t="shared" ref="AL171" si="11">UPPER(AM171)</f>
        <v>PIETRO</v>
      </c>
      <c r="AM171" s="28" t="s">
        <v>175</v>
      </c>
      <c r="AN171" s="28">
        <v>1</v>
      </c>
      <c r="AO171" s="28">
        <v>0</v>
      </c>
      <c r="AP171" s="28"/>
      <c r="AQ171" s="28">
        <f t="shared" ca="1" si="5"/>
        <v>3</v>
      </c>
    </row>
    <row r="172" spans="1:54" x14ac:dyDescent="0.25">
      <c r="A172" t="s">
        <v>154</v>
      </c>
      <c r="B172">
        <v>1</v>
      </c>
      <c r="C172">
        <v>0</v>
      </c>
      <c r="I172" t="s">
        <v>99</v>
      </c>
      <c r="J172">
        <v>1</v>
      </c>
      <c r="K172">
        <v>1</v>
      </c>
      <c r="Q172" t="s">
        <v>101</v>
      </c>
      <c r="R172">
        <v>1</v>
      </c>
      <c r="S172">
        <v>1</v>
      </c>
      <c r="AL172" s="28" t="str">
        <f t="shared" ref="AL172" si="12">UPPER(AM172)</f>
        <v>MITO</v>
      </c>
      <c r="AM172" s="28" t="s">
        <v>187</v>
      </c>
      <c r="AN172" s="28">
        <v>1</v>
      </c>
      <c r="AO172" s="28">
        <v>0</v>
      </c>
      <c r="AP172" s="28"/>
      <c r="AQ172" s="28">
        <f t="shared" ca="1" si="5"/>
        <v>3</v>
      </c>
    </row>
    <row r="173" spans="1:54" x14ac:dyDescent="0.25">
      <c r="A173" t="s">
        <v>103</v>
      </c>
      <c r="B173">
        <v>1</v>
      </c>
      <c r="C173">
        <v>0</v>
      </c>
      <c r="I173" t="s">
        <v>157</v>
      </c>
      <c r="J173">
        <v>1</v>
      </c>
      <c r="K173">
        <v>1</v>
      </c>
      <c r="Q173" t="s">
        <v>58</v>
      </c>
      <c r="R173">
        <v>1</v>
      </c>
      <c r="S173">
        <v>1</v>
      </c>
      <c r="AL173" s="28" t="str">
        <f t="shared" ref="AL173" si="13">UPPER(AM173)</f>
        <v>DANILIM</v>
      </c>
      <c r="AM173" s="28" t="s">
        <v>169</v>
      </c>
      <c r="AN173" s="28">
        <v>1</v>
      </c>
      <c r="AO173" s="28">
        <v>0</v>
      </c>
      <c r="AP173" s="28"/>
      <c r="AQ173" s="28">
        <f t="shared" ca="1" si="5"/>
        <v>3</v>
      </c>
    </row>
    <row r="174" spans="1:54" x14ac:dyDescent="0.25">
      <c r="AL174" s="28" t="str">
        <f t="shared" ref="AL174" si="14">UPPER(AM174)</f>
        <v>FELPS</v>
      </c>
      <c r="AM174" s="28" t="s">
        <v>188</v>
      </c>
      <c r="AN174" s="28">
        <v>1</v>
      </c>
      <c r="AO174" s="28">
        <v>0</v>
      </c>
      <c r="AP174" s="28"/>
      <c r="AQ174" s="28">
        <f t="shared" ca="1" si="5"/>
        <v>3</v>
      </c>
    </row>
    <row r="175" spans="1:54" x14ac:dyDescent="0.25">
      <c r="AL175" s="28" t="str">
        <f t="shared" ref="AL175" si="15">UPPER(AM175)</f>
        <v>DEREK</v>
      </c>
      <c r="AM175" s="28" t="s">
        <v>182</v>
      </c>
      <c r="AN175" s="28">
        <v>0</v>
      </c>
      <c r="AO175" s="28">
        <v>0</v>
      </c>
      <c r="AP175" s="28"/>
      <c r="AQ175" s="28">
        <f t="shared" ca="1" si="5"/>
        <v>3</v>
      </c>
    </row>
    <row r="176" spans="1:54" x14ac:dyDescent="0.25">
      <c r="AL176" s="28" t="str">
        <f t="shared" ref="AL176" si="16">UPPER(AM176)</f>
        <v>KRETZER</v>
      </c>
      <c r="AM176" s="28" t="s">
        <v>163</v>
      </c>
      <c r="AN176" s="28">
        <v>0</v>
      </c>
      <c r="AO176" s="28">
        <v>0</v>
      </c>
      <c r="AP176" s="28"/>
      <c r="AQ176" s="28">
        <f t="shared" ca="1" si="5"/>
        <v>3</v>
      </c>
    </row>
    <row r="177" spans="1:56" x14ac:dyDescent="0.25">
      <c r="AK177" t="s">
        <v>11</v>
      </c>
      <c r="AL177" s="28" t="str">
        <f t="shared" ref="AL177" si="17">UPPER(AM177)</f>
        <v>ZAGA</v>
      </c>
      <c r="AM177" s="28" t="s">
        <v>179</v>
      </c>
      <c r="AN177" s="28">
        <v>1</v>
      </c>
      <c r="AO177" s="28">
        <v>0</v>
      </c>
      <c r="AP177" s="28"/>
      <c r="AQ177" s="28">
        <f t="shared" ca="1" si="5"/>
        <v>3</v>
      </c>
      <c r="AR177">
        <v>2021</v>
      </c>
      <c r="AS177" t="s">
        <v>25</v>
      </c>
      <c r="AT177">
        <v>10</v>
      </c>
      <c r="AU177">
        <v>10</v>
      </c>
      <c r="AV177" t="s">
        <v>26</v>
      </c>
      <c r="AY177" t="s">
        <v>11</v>
      </c>
      <c r="AZ177">
        <v>2020</v>
      </c>
      <c r="BA177" t="s">
        <v>25</v>
      </c>
      <c r="BB177">
        <v>6</v>
      </c>
      <c r="BC177">
        <v>7</v>
      </c>
      <c r="BD177" t="s">
        <v>26</v>
      </c>
    </row>
    <row r="178" spans="1:56" x14ac:dyDescent="0.25">
      <c r="AK178" t="s">
        <v>152</v>
      </c>
      <c r="AL178" s="28" t="str">
        <f t="shared" ref="AL178" si="18">UPPER(AM178)</f>
        <v>GAROPA</v>
      </c>
      <c r="AM178" s="28" t="s">
        <v>43</v>
      </c>
      <c r="AN178" s="28">
        <v>1</v>
      </c>
      <c r="AO178" s="28">
        <v>1</v>
      </c>
      <c r="AP178" s="28"/>
      <c r="AQ178" s="28">
        <f t="shared" ca="1" si="5"/>
        <v>3</v>
      </c>
      <c r="AY178" t="s">
        <v>162</v>
      </c>
    </row>
    <row r="179" spans="1:56" x14ac:dyDescent="0.25">
      <c r="AL179" s="28" t="str">
        <f t="shared" ref="AL179" si="19">UPPER(AM179)</f>
        <v>NATHAN</v>
      </c>
      <c r="AM179" s="28" t="s">
        <v>167</v>
      </c>
      <c r="AN179" s="28">
        <v>1</v>
      </c>
      <c r="AO179" s="28">
        <v>1</v>
      </c>
      <c r="AP179" s="28"/>
      <c r="AQ179" s="28">
        <f t="shared" ca="1" si="5"/>
        <v>3</v>
      </c>
      <c r="AY179" t="s">
        <v>115</v>
      </c>
      <c r="AZ179" t="s">
        <v>85</v>
      </c>
      <c r="BA179" t="s">
        <v>145</v>
      </c>
    </row>
    <row r="180" spans="1:56" x14ac:dyDescent="0.25">
      <c r="A180" t="s">
        <v>160</v>
      </c>
      <c r="AK180" t="s">
        <v>115</v>
      </c>
      <c r="AL180" s="28" t="str">
        <f t="shared" ref="AL180" si="20">UPPER(AM180)</f>
        <v>LEO</v>
      </c>
      <c r="AM180" s="28" t="s">
        <v>38</v>
      </c>
      <c r="AN180" s="28">
        <v>1</v>
      </c>
      <c r="AO180" s="28">
        <v>1</v>
      </c>
      <c r="AP180" s="28"/>
      <c r="AQ180" s="28">
        <f t="shared" ca="1" si="5"/>
        <v>3</v>
      </c>
      <c r="AR180" t="s">
        <v>85</v>
      </c>
      <c r="AS180" t="s">
        <v>145</v>
      </c>
    </row>
    <row r="181" spans="1:56" x14ac:dyDescent="0.25">
      <c r="AL181" s="28" t="str">
        <f t="shared" ref="AL181" si="21">UPPER(AM181)</f>
        <v>MINI DEREK</v>
      </c>
      <c r="AM181" s="28" t="s">
        <v>185</v>
      </c>
      <c r="AN181" s="28">
        <v>1</v>
      </c>
      <c r="AO181" s="28">
        <v>1</v>
      </c>
      <c r="AP181" s="28"/>
      <c r="AQ181" s="28">
        <f t="shared" ca="1" si="5"/>
        <v>3</v>
      </c>
    </row>
    <row r="182" spans="1:56" x14ac:dyDescent="0.25">
      <c r="AL182" s="28" t="str">
        <f t="shared" ref="AL182" si="22">UPPER(AM182)</f>
        <v>BORBA</v>
      </c>
      <c r="AM182" s="28" t="s">
        <v>176</v>
      </c>
      <c r="AN182" s="28">
        <v>1</v>
      </c>
      <c r="AO182" s="28">
        <v>1</v>
      </c>
      <c r="AP182" s="28"/>
      <c r="AQ182" s="28">
        <f t="shared" ca="1" si="5"/>
        <v>3</v>
      </c>
    </row>
    <row r="183" spans="1:56" x14ac:dyDescent="0.25">
      <c r="AL183" s="28" t="str">
        <f t="shared" ref="AL183" si="23">UPPER(AM183)</f>
        <v>FANTA</v>
      </c>
      <c r="AM183" s="28" t="s">
        <v>37</v>
      </c>
      <c r="AN183" s="28">
        <v>1</v>
      </c>
      <c r="AO183" s="28">
        <v>1</v>
      </c>
      <c r="AP183" s="28"/>
      <c r="AQ183" s="28">
        <f t="shared" ca="1" si="5"/>
        <v>3</v>
      </c>
    </row>
    <row r="184" spans="1:56" x14ac:dyDescent="0.25">
      <c r="AL184" s="28" t="str">
        <f t="shared" ref="AL184" si="24">UPPER(AM184)</f>
        <v>ANDRÉ</v>
      </c>
      <c r="AM184" s="28" t="s">
        <v>166</v>
      </c>
      <c r="AN184" s="28">
        <v>1</v>
      </c>
      <c r="AO184" s="28">
        <v>1</v>
      </c>
      <c r="AP184" s="28"/>
      <c r="AQ184" s="28">
        <f t="shared" ca="1" si="5"/>
        <v>3</v>
      </c>
    </row>
    <row r="185" spans="1:56" x14ac:dyDescent="0.25">
      <c r="AL185" s="28" t="str">
        <f t="shared" ref="AL185" si="25">UPPER(AM185)</f>
        <v>HANON</v>
      </c>
      <c r="AM185" s="28" t="s">
        <v>173</v>
      </c>
      <c r="AN185" s="28">
        <v>1</v>
      </c>
      <c r="AO185" s="28">
        <v>1</v>
      </c>
      <c r="AP185" s="28"/>
      <c r="AQ185" s="28">
        <f t="shared" ca="1" si="5"/>
        <v>3</v>
      </c>
    </row>
    <row r="189" spans="1:56" x14ac:dyDescent="0.25">
      <c r="AK189" t="s">
        <v>158</v>
      </c>
    </row>
    <row r="191" spans="1:56" x14ac:dyDescent="0.25">
      <c r="AK191" t="s">
        <v>153</v>
      </c>
      <c r="AL191" t="s">
        <v>85</v>
      </c>
      <c r="AM191" t="s">
        <v>145</v>
      </c>
      <c r="AQ191" t="s">
        <v>161</v>
      </c>
      <c r="AR191" t="s">
        <v>85</v>
      </c>
      <c r="AS191" t="s">
        <v>145</v>
      </c>
      <c r="AY191" t="s">
        <v>146</v>
      </c>
    </row>
    <row r="192" spans="1:56" x14ac:dyDescent="0.25">
      <c r="AK192" t="s">
        <v>115</v>
      </c>
      <c r="AQ192" t="s">
        <v>115</v>
      </c>
      <c r="AY192" t="s">
        <v>115</v>
      </c>
      <c r="AZ192" t="s">
        <v>85</v>
      </c>
      <c r="BA192" t="s">
        <v>145</v>
      </c>
    </row>
    <row r="197" spans="1:13" x14ac:dyDescent="0.25">
      <c r="B197" t="s">
        <v>115</v>
      </c>
      <c r="C197" t="s">
        <v>3</v>
      </c>
      <c r="D197" t="s">
        <v>4</v>
      </c>
      <c r="E197" t="s">
        <v>116</v>
      </c>
    </row>
    <row r="198" spans="1:13" x14ac:dyDescent="0.25">
      <c r="A198" t="s">
        <v>60</v>
      </c>
      <c r="B198" t="s">
        <v>96</v>
      </c>
      <c r="C198">
        <f>SUMIF($J$200:$J$310,"Fanta",K200:K310)</f>
        <v>6</v>
      </c>
      <c r="D198">
        <f>SUMIF($J$200:$J$310,"Fanta",L200:L310)</f>
        <v>2</v>
      </c>
      <c r="E198">
        <f>SUMIF($J$200:$J$310,"Fanta",M200:M310)</f>
        <v>1</v>
      </c>
    </row>
    <row r="199" spans="1:13" x14ac:dyDescent="0.25">
      <c r="A199" t="s">
        <v>61</v>
      </c>
      <c r="B199" t="s">
        <v>97</v>
      </c>
      <c r="C199">
        <f>SUMIF($J$200:$J$310,"Kretzer",K201:K311)</f>
        <v>5</v>
      </c>
      <c r="D199">
        <f>SUMIF($J$200:$J$310,"Kretzer",L200:L311)</f>
        <v>0</v>
      </c>
      <c r="E199">
        <f>SUMIF($J$200:$J$310,"Kretzer",M200:M310)</f>
        <v>0</v>
      </c>
      <c r="J199" t="s">
        <v>115</v>
      </c>
      <c r="K199" t="s">
        <v>85</v>
      </c>
      <c r="L199" t="s">
        <v>86</v>
      </c>
      <c r="M199" t="s">
        <v>87</v>
      </c>
    </row>
    <row r="200" spans="1:13" x14ac:dyDescent="0.25">
      <c r="A200" t="s">
        <v>62</v>
      </c>
      <c r="B200" t="s">
        <v>98</v>
      </c>
      <c r="C200">
        <f ca="1">SUMIF($J$200:$J$310,"Letti",K202:K311)</f>
        <v>6</v>
      </c>
      <c r="D200">
        <f>SUMIF($J$200:$J$310,"Letti",L200:L311)</f>
        <v>5</v>
      </c>
      <c r="E200">
        <f>SUMIF($J$200:$J$310,"Letti",M200:M311)</f>
        <v>2</v>
      </c>
      <c r="J200" t="s">
        <v>96</v>
      </c>
      <c r="K200">
        <v>1</v>
      </c>
      <c r="L200">
        <v>1</v>
      </c>
      <c r="M200">
        <v>0</v>
      </c>
    </row>
    <row r="201" spans="1:13" x14ac:dyDescent="0.25">
      <c r="A201" t="s">
        <v>63</v>
      </c>
      <c r="B201" t="s">
        <v>99</v>
      </c>
      <c r="C201">
        <f>SUMIF($J$200:$J$310,"Glauber",K200:K311)</f>
        <v>6</v>
      </c>
      <c r="D201">
        <f>SUMIF($J$200:$J$310,"Glauber",L200:L311)</f>
        <v>6</v>
      </c>
      <c r="E201">
        <f>SUMIF($J$200:$J$310,"Glauber",M200:M311)</f>
        <v>2</v>
      </c>
      <c r="J201" t="s">
        <v>128</v>
      </c>
      <c r="K201">
        <v>1</v>
      </c>
      <c r="L201">
        <v>0</v>
      </c>
      <c r="M201">
        <v>0</v>
      </c>
    </row>
    <row r="202" spans="1:13" x14ac:dyDescent="0.25">
      <c r="A202" t="s">
        <v>64</v>
      </c>
      <c r="B202" t="s">
        <v>129</v>
      </c>
      <c r="C202">
        <f>SUMIF($J$200:$J$310,"Leo Godinho",K200:K311)</f>
        <v>1</v>
      </c>
      <c r="D202">
        <f>SUMIF($J$200:$J$310,"Leo Godinho",L200:L311)</f>
        <v>0</v>
      </c>
      <c r="E202">
        <f>SUMIF($J$200:$J$310,"Leo Godinho",M200:M311)</f>
        <v>0</v>
      </c>
      <c r="J202" t="s">
        <v>98</v>
      </c>
      <c r="K202">
        <v>1</v>
      </c>
      <c r="L202">
        <v>3</v>
      </c>
      <c r="M202">
        <v>0</v>
      </c>
    </row>
    <row r="203" spans="1:13" x14ac:dyDescent="0.25">
      <c r="A203" t="s">
        <v>65</v>
      </c>
      <c r="B203" t="s">
        <v>100</v>
      </c>
      <c r="C203">
        <f>SUMIF($J$200:$J$310,"Luigi",K200:K311)</f>
        <v>1</v>
      </c>
      <c r="D203">
        <f>SUMIF($J$200:$J$310,"Luigi",L200:L311)</f>
        <v>0</v>
      </c>
      <c r="E203">
        <f>SUMIF($J$200:$J$310,"Luigi",M200:M311)</f>
        <v>1</v>
      </c>
      <c r="J203" t="s">
        <v>99</v>
      </c>
      <c r="K203">
        <v>1</v>
      </c>
      <c r="L203">
        <v>0</v>
      </c>
      <c r="M203">
        <v>2</v>
      </c>
    </row>
    <row r="204" spans="1:13" x14ac:dyDescent="0.25">
      <c r="A204" t="s">
        <v>66</v>
      </c>
      <c r="B204" t="s">
        <v>101</v>
      </c>
      <c r="C204">
        <f>SUMIF($J$200:$J$310,"André",K201:K311)</f>
        <v>6</v>
      </c>
      <c r="D204">
        <f>SUMIF($J$200:$J$310,"André",L200:L311)</f>
        <v>0</v>
      </c>
      <c r="E204">
        <f>SUMIF($J$200:$J$310,"André",M200:M311)</f>
        <v>1</v>
      </c>
      <c r="J204" t="s">
        <v>129</v>
      </c>
      <c r="K204">
        <v>1</v>
      </c>
      <c r="L204">
        <v>0</v>
      </c>
      <c r="M204">
        <v>0</v>
      </c>
    </row>
    <row r="205" spans="1:13" x14ac:dyDescent="0.25">
      <c r="A205" t="s">
        <v>67</v>
      </c>
      <c r="B205" t="s">
        <v>110</v>
      </c>
      <c r="C205">
        <f ca="1">SUMIF($J$200:$J$310,"Arthur",K202:K311)</f>
        <v>2</v>
      </c>
      <c r="D205">
        <f ca="1">SUMIF($J$200:$J$310,"Arthur",L202:L311)</f>
        <v>0</v>
      </c>
      <c r="E205">
        <f>SUMIF($J$200:$J$310,"Arthur",M200:M311)</f>
        <v>0</v>
      </c>
      <c r="J205" t="s">
        <v>100</v>
      </c>
      <c r="K205">
        <v>1</v>
      </c>
      <c r="L205">
        <v>0</v>
      </c>
      <c r="M205">
        <v>1</v>
      </c>
    </row>
    <row r="206" spans="1:13" x14ac:dyDescent="0.25">
      <c r="A206" t="s">
        <v>69</v>
      </c>
      <c r="B206" t="s">
        <v>109</v>
      </c>
      <c r="C206">
        <f>SUMIF($J$200:$J$310,"Leo",K200:K311)</f>
        <v>6</v>
      </c>
      <c r="D206">
        <f>SUMIF($J$200:$J$310,"Leo",L200:L311)</f>
        <v>4</v>
      </c>
      <c r="E206">
        <f>SUMIF($J$200:$J$310,"Leo",M200:M311)</f>
        <v>0</v>
      </c>
      <c r="J206" t="s">
        <v>101</v>
      </c>
      <c r="K206">
        <v>1</v>
      </c>
      <c r="L206">
        <v>0</v>
      </c>
      <c r="M206">
        <v>0</v>
      </c>
    </row>
    <row r="207" spans="1:13" x14ac:dyDescent="0.25">
      <c r="A207" t="s">
        <v>70</v>
      </c>
      <c r="B207" t="s">
        <v>103</v>
      </c>
      <c r="C207">
        <f>SUMIF($J$200:$J$310,"Vitao",K200:K311)</f>
        <v>6</v>
      </c>
      <c r="D207">
        <f>SUMIF($J$200:$J$310,"Vitao",L200:L311)</f>
        <v>2</v>
      </c>
      <c r="E207">
        <f>SUMIF($J$200:$J$310,"Vitao",M200:M311)</f>
        <v>5</v>
      </c>
      <c r="J207" t="s">
        <v>102</v>
      </c>
      <c r="K207">
        <v>1</v>
      </c>
      <c r="L207">
        <v>0</v>
      </c>
      <c r="M207">
        <v>0</v>
      </c>
    </row>
    <row r="208" spans="1:13" x14ac:dyDescent="0.25">
      <c r="A208" t="s">
        <v>71</v>
      </c>
      <c r="B208" t="s">
        <v>104</v>
      </c>
      <c r="C208">
        <f>SUMIF($J$200:$J$310,"Nathan",K200:K311)</f>
        <v>6</v>
      </c>
      <c r="D208">
        <f>SUMIF($J$200:$J$310,"Nathan",L200:L311)</f>
        <v>1</v>
      </c>
      <c r="E208">
        <f>SUMIF($J$200:$J$310,"Nathan",M200:M311)</f>
        <v>0</v>
      </c>
      <c r="J208" t="s">
        <v>48</v>
      </c>
      <c r="K208">
        <v>1</v>
      </c>
      <c r="L208">
        <v>1</v>
      </c>
      <c r="M208">
        <v>0</v>
      </c>
    </row>
    <row r="209" spans="1:40" x14ac:dyDescent="0.25">
      <c r="A209" t="s">
        <v>72</v>
      </c>
      <c r="B209" t="s">
        <v>105</v>
      </c>
      <c r="C209">
        <f>SUMIF($J$200:$J$310,"Matheus",K200:K311)</f>
        <v>1</v>
      </c>
      <c r="D209">
        <f>SUMIF($J$200:$J$310,"Matheus",L200:L311)</f>
        <v>1</v>
      </c>
      <c r="E209">
        <f>SUMIF($J$200:$J$310,"Matheus",M200:M311)</f>
        <v>0</v>
      </c>
      <c r="J209" t="s">
        <v>46</v>
      </c>
      <c r="K209">
        <v>1</v>
      </c>
      <c r="L209">
        <v>0</v>
      </c>
      <c r="M209">
        <v>1</v>
      </c>
    </row>
    <row r="210" spans="1:40" x14ac:dyDescent="0.25">
      <c r="A210" t="s">
        <v>73</v>
      </c>
      <c r="B210" t="s">
        <v>106</v>
      </c>
      <c r="C210">
        <f>SUMIF($J$200:$J$310,"Davi",K200:K311)</f>
        <v>1</v>
      </c>
      <c r="D210">
        <f>SUMIF($J$200:$J$310,"Davi",L200:L311)</f>
        <v>0</v>
      </c>
      <c r="E210">
        <f>SUMIF($J$200:$J$310,"Davi",M200:M311)</f>
        <v>0</v>
      </c>
      <c r="J210" t="s">
        <v>55</v>
      </c>
      <c r="K210">
        <v>1</v>
      </c>
      <c r="L210">
        <v>0</v>
      </c>
      <c r="M210">
        <v>0</v>
      </c>
    </row>
    <row r="211" spans="1:40" x14ac:dyDescent="0.25">
      <c r="A211" t="s">
        <v>74</v>
      </c>
      <c r="B211" t="s">
        <v>107</v>
      </c>
      <c r="C211">
        <f>SUMIF($J$200:$J$310,"Enzo",K200:K311)</f>
        <v>1</v>
      </c>
      <c r="D211">
        <f>SUMIF($J$200:$J$310,"Enzo",L200:L311)</f>
        <v>1</v>
      </c>
      <c r="E211">
        <f>SUMIF($J$200:$J$310,"Enzo",M200:M311)</f>
        <v>0</v>
      </c>
      <c r="J211" t="s">
        <v>130</v>
      </c>
      <c r="K211">
        <v>1</v>
      </c>
      <c r="L211">
        <v>1</v>
      </c>
      <c r="M211">
        <v>0</v>
      </c>
    </row>
    <row r="212" spans="1:40" x14ac:dyDescent="0.25">
      <c r="A212" t="s">
        <v>75</v>
      </c>
      <c r="B212" t="s">
        <v>118</v>
      </c>
      <c r="C212">
        <f>SUMIF($J$200:$J$310,"Garopaba",K200:K311)</f>
        <v>6</v>
      </c>
      <c r="D212">
        <f>SUMIF($J$200:$J$310,"Garopaba",L200:L311)</f>
        <v>9</v>
      </c>
      <c r="E212">
        <f>SUMIF($J$200:$J$310,"Garopaba",M200:M311)</f>
        <v>1</v>
      </c>
      <c r="J212" t="s">
        <v>131</v>
      </c>
      <c r="K212">
        <v>1</v>
      </c>
      <c r="L212">
        <v>0</v>
      </c>
      <c r="M212">
        <v>0</v>
      </c>
    </row>
    <row r="213" spans="1:40" x14ac:dyDescent="0.25">
      <c r="A213" t="s">
        <v>76</v>
      </c>
      <c r="B213" t="s">
        <v>108</v>
      </c>
      <c r="C213">
        <f>SUMIF($J$200:$J$310,"Merizi",K200:K311)</f>
        <v>1</v>
      </c>
      <c r="D213">
        <f>SUMIF($J$200:$J$310,"Merizi",L200:L311)</f>
        <v>0</v>
      </c>
      <c r="E213">
        <f>SUMIF($J$200:$J$310,"Merizi",M200:M311)</f>
        <v>0</v>
      </c>
      <c r="J213" t="s">
        <v>132</v>
      </c>
      <c r="K213">
        <v>1</v>
      </c>
      <c r="L213">
        <v>1</v>
      </c>
      <c r="M213">
        <v>0</v>
      </c>
    </row>
    <row r="214" spans="1:40" x14ac:dyDescent="0.25">
      <c r="A214" t="s">
        <v>88</v>
      </c>
      <c r="B214" t="s">
        <v>88</v>
      </c>
      <c r="C214">
        <f>SUMIF($J$200:$J$310,"Danilim",K200:K311)</f>
        <v>5</v>
      </c>
      <c r="D214">
        <f>SUMIF($J$200:$J$310,"Danilim",L200:L311)</f>
        <v>0</v>
      </c>
      <c r="E214">
        <f>SUMIF($J$200:$J$310,"Danilim",M200:M311)</f>
        <v>0</v>
      </c>
      <c r="J214" t="s">
        <v>118</v>
      </c>
      <c r="K214">
        <v>1</v>
      </c>
      <c r="L214">
        <v>0</v>
      </c>
      <c r="M214">
        <v>1</v>
      </c>
    </row>
    <row r="215" spans="1:40" x14ac:dyDescent="0.25">
      <c r="A215" t="s">
        <v>89</v>
      </c>
      <c r="B215" t="s">
        <v>89</v>
      </c>
      <c r="C215">
        <f>SUMIF($J$200:$J$310,"Henrique",K200:K311)</f>
        <v>2</v>
      </c>
      <c r="D215">
        <f>SUMIF($J$200:$J$310,"Henrique",L200:L311)</f>
        <v>0</v>
      </c>
      <c r="E215">
        <f>SUMIF($J$200:$J$310,"Henrique",M200:M311)</f>
        <v>0</v>
      </c>
      <c r="J215" t="s">
        <v>133</v>
      </c>
      <c r="K215">
        <v>1</v>
      </c>
      <c r="L215">
        <v>0</v>
      </c>
      <c r="M215">
        <v>0</v>
      </c>
    </row>
    <row r="216" spans="1:40" x14ac:dyDescent="0.25">
      <c r="A216" t="s">
        <v>90</v>
      </c>
      <c r="B216" t="s">
        <v>90</v>
      </c>
      <c r="C216">
        <f>SUMIF($J$200:$J$310,"Phelps",K200:K311)</f>
        <v>4</v>
      </c>
      <c r="D216">
        <f>SUMIF($J$200:$J$310,"Phelps",L200:L311)</f>
        <v>0</v>
      </c>
      <c r="E216">
        <f>SUMIF($J$200:$J$310,"Phelps",M200:M311)</f>
        <v>0</v>
      </c>
      <c r="J216" t="s">
        <v>96</v>
      </c>
      <c r="K216">
        <v>1</v>
      </c>
      <c r="L216">
        <v>0</v>
      </c>
      <c r="M216">
        <v>0</v>
      </c>
    </row>
    <row r="217" spans="1:40" x14ac:dyDescent="0.25">
      <c r="A217" t="s">
        <v>91</v>
      </c>
      <c r="B217" t="s">
        <v>91</v>
      </c>
      <c r="C217">
        <f>SUMIF($J$200:$J$310,"Bala",K200:K311)</f>
        <v>3</v>
      </c>
      <c r="D217">
        <f>SUMIF($J$200:$J$310,"Bala",L200:L311)</f>
        <v>1</v>
      </c>
      <c r="E217">
        <f>SUMIF($J$200:$J$310,"Bala",M200:M311)</f>
        <v>0</v>
      </c>
      <c r="J217" t="s">
        <v>97</v>
      </c>
      <c r="K217">
        <v>1</v>
      </c>
      <c r="L217">
        <v>0</v>
      </c>
      <c r="M217">
        <v>0</v>
      </c>
    </row>
    <row r="218" spans="1:40" x14ac:dyDescent="0.25">
      <c r="A218" t="s">
        <v>92</v>
      </c>
      <c r="B218" t="s">
        <v>92</v>
      </c>
      <c r="C218">
        <f>SUMIF($J$200:$J$310,"Hanon",K200:K311)</f>
        <v>3</v>
      </c>
      <c r="D218">
        <f>SUMIF($J$200:$J$310,"Hanon",L200:L311)</f>
        <v>0</v>
      </c>
      <c r="E218">
        <f>SUMIF($J$200:$J$310,"Hanon",M200:M311)</f>
        <v>1</v>
      </c>
      <c r="J218" t="s">
        <v>88</v>
      </c>
      <c r="K218">
        <v>1</v>
      </c>
      <c r="L218">
        <v>0</v>
      </c>
      <c r="M218">
        <v>0</v>
      </c>
    </row>
    <row r="219" spans="1:40" x14ac:dyDescent="0.25">
      <c r="A219" t="s">
        <v>45</v>
      </c>
      <c r="B219" s="23" t="s">
        <v>117</v>
      </c>
      <c r="C219" s="23">
        <f>SUMIF($J$200:$J$310,"Gordo",K200:K311)</f>
        <v>2</v>
      </c>
      <c r="D219" s="23">
        <f>SUMIF($J$200:$J$310,"Gordo",L200:L311)</f>
        <v>0</v>
      </c>
      <c r="E219" s="23">
        <f>SUMIF($J$200:$J$310,"Gordo",M200:M311)</f>
        <v>2</v>
      </c>
      <c r="J219" t="s">
        <v>89</v>
      </c>
      <c r="K219">
        <v>1</v>
      </c>
      <c r="L219">
        <v>0</v>
      </c>
      <c r="M219">
        <v>0</v>
      </c>
    </row>
    <row r="220" spans="1:40" x14ac:dyDescent="0.25">
      <c r="A220" t="s">
        <v>93</v>
      </c>
      <c r="B220" t="s">
        <v>93</v>
      </c>
      <c r="C220">
        <f>SUMIF($J$200:$J$310,"Pietro",K200:K311)</f>
        <v>4</v>
      </c>
      <c r="D220">
        <f>SUMIF($J$200:$J$310,"Pietro",L200:L311)</f>
        <v>2</v>
      </c>
      <c r="E220">
        <f>SUMIF($J$200:$J$310,"Pietro",M200:M311)</f>
        <v>1</v>
      </c>
      <c r="J220" t="s">
        <v>103</v>
      </c>
      <c r="K220">
        <v>1</v>
      </c>
      <c r="L220">
        <v>0</v>
      </c>
      <c r="M220">
        <v>2</v>
      </c>
    </row>
    <row r="221" spans="1:40" x14ac:dyDescent="0.25">
      <c r="A221" t="s">
        <v>94</v>
      </c>
      <c r="B221" t="s">
        <v>94</v>
      </c>
      <c r="C221">
        <f>SUMIF($J$200:$J$310,"Borba",K200:K311)</f>
        <v>4</v>
      </c>
      <c r="D221">
        <f>SUMIF($J$200:$J$310,"Borba",L200:L311)</f>
        <v>0</v>
      </c>
      <c r="E221">
        <f>SUMIF($J$200:$J$310,"Borba",M200:M311)</f>
        <v>0</v>
      </c>
      <c r="J221" t="s">
        <v>101</v>
      </c>
      <c r="K221">
        <v>1</v>
      </c>
      <c r="L221">
        <v>0</v>
      </c>
      <c r="M221">
        <v>0</v>
      </c>
      <c r="AJ221">
        <v>2023</v>
      </c>
      <c r="AK221" t="s">
        <v>29</v>
      </c>
      <c r="AL221">
        <v>0</v>
      </c>
      <c r="AM221">
        <v>0</v>
      </c>
      <c r="AN221" t="s">
        <v>30</v>
      </c>
    </row>
    <row r="222" spans="1:40" x14ac:dyDescent="0.25">
      <c r="A222" t="s">
        <v>95</v>
      </c>
      <c r="B222" t="s">
        <v>95</v>
      </c>
      <c r="C222">
        <f>SUMIF($J$200:$J$310,"Probst",K200:K311)</f>
        <v>1</v>
      </c>
      <c r="D222">
        <f>SUMIF($J$200:$J$310,"Probst",L200:L311)</f>
        <v>0</v>
      </c>
      <c r="E222">
        <f>SUMIF($J$200:$J$310,"Probst",M200:M311)</f>
        <v>0</v>
      </c>
      <c r="J222" t="s">
        <v>90</v>
      </c>
      <c r="K222">
        <v>1</v>
      </c>
      <c r="L222">
        <v>0</v>
      </c>
      <c r="M222">
        <v>0</v>
      </c>
    </row>
    <row r="223" spans="1:40" x14ac:dyDescent="0.25">
      <c r="A223" t="s">
        <v>111</v>
      </c>
      <c r="B223" t="s">
        <v>111</v>
      </c>
      <c r="C223">
        <f>SUMIF($J$200:$J$310,"Zaga",K200:K311)</f>
        <v>3</v>
      </c>
      <c r="D223">
        <f>SUMIF($J$200:$J$310,"Zaga",L200:L311)</f>
        <v>2</v>
      </c>
      <c r="E223">
        <f>SUMIF($J$200:$J$310,"Zaga",M200:M311)</f>
        <v>3</v>
      </c>
      <c r="J223" t="s">
        <v>109</v>
      </c>
      <c r="K223">
        <v>1</v>
      </c>
      <c r="L223">
        <v>1</v>
      </c>
      <c r="M223">
        <v>0</v>
      </c>
      <c r="AJ223" t="s">
        <v>85</v>
      </c>
      <c r="AK223" t="s">
        <v>86</v>
      </c>
      <c r="AL223" t="s">
        <v>87</v>
      </c>
      <c r="AM223" t="s">
        <v>145</v>
      </c>
    </row>
    <row r="224" spans="1:40" x14ac:dyDescent="0.25">
      <c r="A224" t="s">
        <v>78</v>
      </c>
      <c r="B224" t="s">
        <v>114</v>
      </c>
      <c r="C224">
        <f>SUMIF($J$200:$J$310,"Joao",K200:K311)</f>
        <v>1</v>
      </c>
      <c r="D224">
        <f>SUMIF($J$200:$J$310,"Joao",L200:L311)</f>
        <v>0</v>
      </c>
      <c r="E224">
        <f>SUMIF($J$200:$J$310,"Joao",M200:M311)</f>
        <v>0</v>
      </c>
      <c r="J224" t="s">
        <v>91</v>
      </c>
      <c r="K224">
        <v>1</v>
      </c>
      <c r="L224">
        <v>1</v>
      </c>
      <c r="M224">
        <v>0</v>
      </c>
    </row>
    <row r="225" spans="1:38" x14ac:dyDescent="0.25">
      <c r="A225" t="s">
        <v>80</v>
      </c>
      <c r="B225" t="s">
        <v>112</v>
      </c>
      <c r="C225">
        <f>SUMIF($J$200:$J$310,"Correa",K200:K311)</f>
        <v>1</v>
      </c>
      <c r="D225">
        <f>SUMIF($J$200:$J$310,"Correa",L200:L311)</f>
        <v>0</v>
      </c>
      <c r="E225">
        <f>SUMIF($J$200:$J$310,"Correa",M200:M311)</f>
        <v>0</v>
      </c>
      <c r="J225" t="s">
        <v>92</v>
      </c>
      <c r="K225">
        <v>1</v>
      </c>
      <c r="L225">
        <v>0</v>
      </c>
      <c r="M225">
        <v>0</v>
      </c>
    </row>
    <row r="226" spans="1:38" x14ac:dyDescent="0.25">
      <c r="A226" t="s">
        <v>82</v>
      </c>
      <c r="B226" t="s">
        <v>113</v>
      </c>
      <c r="C226">
        <f>SUMIF($J$200:$J$310,"Marucco",K200:K311)</f>
        <v>1</v>
      </c>
      <c r="D226">
        <f>SUMIF($J$200:$J$310,"Marucco",L200:L311)</f>
        <v>0</v>
      </c>
      <c r="E226">
        <f>SUMIF($J$200:$J$310,"Marucco",M200:M311)</f>
        <v>0</v>
      </c>
      <c r="J226" t="s">
        <v>114</v>
      </c>
      <c r="K226">
        <v>1</v>
      </c>
      <c r="L226">
        <v>0</v>
      </c>
      <c r="M226">
        <v>0</v>
      </c>
    </row>
    <row r="227" spans="1:38" x14ac:dyDescent="0.25">
      <c r="J227" t="s">
        <v>98</v>
      </c>
      <c r="K227">
        <v>1</v>
      </c>
      <c r="L227">
        <v>1</v>
      </c>
      <c r="M227">
        <v>0</v>
      </c>
    </row>
    <row r="228" spans="1:38" x14ac:dyDescent="0.25">
      <c r="J228" t="s">
        <v>117</v>
      </c>
      <c r="K228">
        <v>1</v>
      </c>
      <c r="L228">
        <v>0</v>
      </c>
      <c r="M228">
        <v>2</v>
      </c>
    </row>
    <row r="229" spans="1:38" x14ac:dyDescent="0.25">
      <c r="J229" t="s">
        <v>118</v>
      </c>
      <c r="K229">
        <v>1</v>
      </c>
      <c r="L229">
        <v>0</v>
      </c>
      <c r="M229">
        <v>0</v>
      </c>
    </row>
    <row r="230" spans="1:38" x14ac:dyDescent="0.25">
      <c r="J230" t="s">
        <v>99</v>
      </c>
      <c r="K230">
        <v>1</v>
      </c>
      <c r="L230">
        <v>2</v>
      </c>
      <c r="M230">
        <v>0</v>
      </c>
    </row>
    <row r="231" spans="1:38" x14ac:dyDescent="0.25">
      <c r="J231" t="s">
        <v>93</v>
      </c>
      <c r="K231">
        <v>0</v>
      </c>
      <c r="L231">
        <v>0</v>
      </c>
      <c r="M231">
        <v>0</v>
      </c>
    </row>
    <row r="232" spans="1:38" x14ac:dyDescent="0.25">
      <c r="J232" t="s">
        <v>104</v>
      </c>
      <c r="K232">
        <v>1</v>
      </c>
      <c r="L232">
        <v>0</v>
      </c>
      <c r="M232">
        <v>0</v>
      </c>
      <c r="AI232" t="s">
        <v>81</v>
      </c>
    </row>
    <row r="233" spans="1:38" x14ac:dyDescent="0.25">
      <c r="J233" t="s">
        <v>94</v>
      </c>
      <c r="K233">
        <v>1</v>
      </c>
      <c r="L233">
        <v>0</v>
      </c>
      <c r="M233">
        <v>0</v>
      </c>
      <c r="AI233" t="s">
        <v>115</v>
      </c>
    </row>
    <row r="234" spans="1:38" x14ac:dyDescent="0.25">
      <c r="J234" t="s">
        <v>119</v>
      </c>
      <c r="K234">
        <v>0</v>
      </c>
      <c r="L234">
        <v>0</v>
      </c>
      <c r="M234">
        <v>0</v>
      </c>
    </row>
    <row r="235" spans="1:38" x14ac:dyDescent="0.25">
      <c r="J235" t="s">
        <v>95</v>
      </c>
      <c r="K235">
        <v>1</v>
      </c>
      <c r="L235">
        <v>0</v>
      </c>
      <c r="M235">
        <v>0</v>
      </c>
    </row>
    <row r="236" spans="1:38" x14ac:dyDescent="0.25">
      <c r="J236" t="s">
        <v>102</v>
      </c>
      <c r="K236">
        <v>1</v>
      </c>
      <c r="L236">
        <v>0</v>
      </c>
      <c r="M236">
        <v>0</v>
      </c>
      <c r="AI236" t="s">
        <v>81</v>
      </c>
    </row>
    <row r="237" spans="1:38" x14ac:dyDescent="0.25">
      <c r="J237" t="s">
        <v>96</v>
      </c>
      <c r="K237">
        <v>1</v>
      </c>
      <c r="L237">
        <v>0</v>
      </c>
      <c r="M237">
        <v>0</v>
      </c>
      <c r="AI237" t="s">
        <v>115</v>
      </c>
      <c r="AJ237" t="s">
        <v>85</v>
      </c>
      <c r="AK237" t="s">
        <v>86</v>
      </c>
      <c r="AL237" t="s">
        <v>87</v>
      </c>
    </row>
    <row r="238" spans="1:38" x14ac:dyDescent="0.25">
      <c r="J238" t="s">
        <v>97</v>
      </c>
      <c r="K238">
        <v>1</v>
      </c>
      <c r="L238">
        <v>0</v>
      </c>
      <c r="M238">
        <v>0</v>
      </c>
    </row>
    <row r="239" spans="1:38" x14ac:dyDescent="0.25">
      <c r="J239" t="s">
        <v>88</v>
      </c>
      <c r="K239">
        <v>1</v>
      </c>
      <c r="L239">
        <v>0</v>
      </c>
      <c r="M239">
        <v>0</v>
      </c>
    </row>
    <row r="240" spans="1:38" x14ac:dyDescent="0.25">
      <c r="J240" t="s">
        <v>89</v>
      </c>
      <c r="K240">
        <v>1</v>
      </c>
      <c r="L240">
        <v>0</v>
      </c>
      <c r="M240">
        <v>0</v>
      </c>
    </row>
    <row r="241" spans="10:39" x14ac:dyDescent="0.25">
      <c r="J241" t="s">
        <v>103</v>
      </c>
      <c r="K241">
        <v>1</v>
      </c>
      <c r="L241">
        <v>0</v>
      </c>
      <c r="M241">
        <v>0</v>
      </c>
    </row>
    <row r="242" spans="10:39" x14ac:dyDescent="0.25">
      <c r="J242" t="s">
        <v>101</v>
      </c>
      <c r="K242">
        <v>1</v>
      </c>
      <c r="L242">
        <v>0</v>
      </c>
      <c r="M242">
        <v>0</v>
      </c>
    </row>
    <row r="243" spans="10:39" x14ac:dyDescent="0.25">
      <c r="J243" t="s">
        <v>90</v>
      </c>
      <c r="K243">
        <v>1</v>
      </c>
      <c r="L243">
        <v>0</v>
      </c>
      <c r="M243">
        <v>0</v>
      </c>
    </row>
    <row r="244" spans="10:39" x14ac:dyDescent="0.25">
      <c r="J244" t="s">
        <v>109</v>
      </c>
      <c r="K244">
        <v>1</v>
      </c>
      <c r="L244">
        <v>0</v>
      </c>
      <c r="M244">
        <v>0</v>
      </c>
    </row>
    <row r="245" spans="10:39" x14ac:dyDescent="0.25">
      <c r="J245" t="s">
        <v>91</v>
      </c>
      <c r="K245">
        <v>1</v>
      </c>
      <c r="L245">
        <v>0</v>
      </c>
      <c r="M245">
        <v>0</v>
      </c>
    </row>
    <row r="246" spans="10:39" x14ac:dyDescent="0.25">
      <c r="J246" t="s">
        <v>92</v>
      </c>
      <c r="K246">
        <v>1</v>
      </c>
      <c r="L246">
        <v>0</v>
      </c>
      <c r="M246">
        <v>0</v>
      </c>
    </row>
    <row r="247" spans="10:39" x14ac:dyDescent="0.25">
      <c r="J247" t="s">
        <v>112</v>
      </c>
      <c r="K247">
        <v>1</v>
      </c>
      <c r="L247">
        <v>0</v>
      </c>
      <c r="M247">
        <v>0</v>
      </c>
    </row>
    <row r="248" spans="10:39" x14ac:dyDescent="0.25">
      <c r="J248" t="s">
        <v>98</v>
      </c>
      <c r="K248">
        <v>1</v>
      </c>
      <c r="L248">
        <v>0</v>
      </c>
      <c r="M248">
        <v>0</v>
      </c>
    </row>
    <row r="249" spans="10:39" x14ac:dyDescent="0.25">
      <c r="J249" t="s">
        <v>117</v>
      </c>
      <c r="K249">
        <v>1</v>
      </c>
      <c r="L249">
        <v>0</v>
      </c>
      <c r="M249">
        <v>0</v>
      </c>
    </row>
    <row r="250" spans="10:39" x14ac:dyDescent="0.25">
      <c r="J250" t="s">
        <v>118</v>
      </c>
      <c r="K250">
        <v>1</v>
      </c>
      <c r="L250">
        <v>0</v>
      </c>
      <c r="M250">
        <v>0</v>
      </c>
      <c r="AL250" t="s">
        <v>87</v>
      </c>
      <c r="AM250" t="s">
        <v>145</v>
      </c>
    </row>
    <row r="251" spans="10:39" x14ac:dyDescent="0.25">
      <c r="J251" t="s">
        <v>99</v>
      </c>
      <c r="K251">
        <v>1</v>
      </c>
      <c r="L251">
        <v>0</v>
      </c>
      <c r="M251">
        <v>0</v>
      </c>
    </row>
    <row r="252" spans="10:39" x14ac:dyDescent="0.25">
      <c r="J252" t="s">
        <v>93</v>
      </c>
      <c r="K252">
        <v>1</v>
      </c>
      <c r="L252">
        <v>0</v>
      </c>
      <c r="M252">
        <v>0</v>
      </c>
    </row>
    <row r="253" spans="10:39" x14ac:dyDescent="0.25">
      <c r="J253" t="s">
        <v>104</v>
      </c>
      <c r="K253">
        <v>1</v>
      </c>
      <c r="L253">
        <v>0</v>
      </c>
      <c r="M253">
        <v>0</v>
      </c>
    </row>
    <row r="254" spans="10:39" x14ac:dyDescent="0.25">
      <c r="J254" t="s">
        <v>94</v>
      </c>
      <c r="K254">
        <v>0</v>
      </c>
      <c r="L254">
        <v>0</v>
      </c>
      <c r="M254">
        <v>0</v>
      </c>
    </row>
    <row r="255" spans="10:39" x14ac:dyDescent="0.25">
      <c r="J255" t="s">
        <v>119</v>
      </c>
      <c r="K255">
        <v>0</v>
      </c>
      <c r="L255">
        <v>0</v>
      </c>
      <c r="M255">
        <v>0</v>
      </c>
    </row>
    <row r="256" spans="10:39" x14ac:dyDescent="0.25">
      <c r="J256" t="s">
        <v>95</v>
      </c>
      <c r="K256">
        <v>0</v>
      </c>
      <c r="L256">
        <v>0</v>
      </c>
      <c r="M256">
        <v>0</v>
      </c>
    </row>
    <row r="257" spans="10:13" x14ac:dyDescent="0.25">
      <c r="J257" t="s">
        <v>113</v>
      </c>
      <c r="K257">
        <v>1</v>
      </c>
      <c r="L257">
        <v>0</v>
      </c>
      <c r="M257">
        <v>0</v>
      </c>
    </row>
    <row r="258" spans="10:13" x14ac:dyDescent="0.25">
      <c r="J258" t="s">
        <v>55</v>
      </c>
      <c r="K258">
        <v>1</v>
      </c>
      <c r="L258">
        <v>0</v>
      </c>
      <c r="M258">
        <v>0</v>
      </c>
    </row>
    <row r="259" spans="10:13" x14ac:dyDescent="0.25">
      <c r="J259" t="s">
        <v>120</v>
      </c>
      <c r="K259">
        <v>1</v>
      </c>
      <c r="L259">
        <v>0</v>
      </c>
      <c r="M259">
        <v>0</v>
      </c>
    </row>
    <row r="260" spans="10:13" x14ac:dyDescent="0.25">
      <c r="J260" t="s">
        <v>121</v>
      </c>
      <c r="K260">
        <v>1</v>
      </c>
      <c r="L260">
        <v>0</v>
      </c>
      <c r="M260">
        <v>0</v>
      </c>
    </row>
    <row r="261" spans="10:13" x14ac:dyDescent="0.25">
      <c r="J261" t="s">
        <v>54</v>
      </c>
      <c r="K261">
        <v>1</v>
      </c>
      <c r="L261">
        <v>1</v>
      </c>
      <c r="M261">
        <v>0</v>
      </c>
    </row>
    <row r="262" spans="10:13" x14ac:dyDescent="0.25">
      <c r="J262" t="s">
        <v>51</v>
      </c>
      <c r="K262">
        <v>1</v>
      </c>
      <c r="L262">
        <v>1</v>
      </c>
      <c r="M262">
        <v>1</v>
      </c>
    </row>
    <row r="263" spans="10:13" x14ac:dyDescent="0.25">
      <c r="J263" t="s">
        <v>122</v>
      </c>
      <c r="K263">
        <v>1</v>
      </c>
      <c r="L263">
        <v>0</v>
      </c>
      <c r="M263">
        <v>0</v>
      </c>
    </row>
    <row r="264" spans="10:13" x14ac:dyDescent="0.25">
      <c r="J264" t="s">
        <v>99</v>
      </c>
      <c r="K264">
        <v>1</v>
      </c>
      <c r="L264">
        <v>1</v>
      </c>
      <c r="M264">
        <v>0</v>
      </c>
    </row>
    <row r="265" spans="10:13" x14ac:dyDescent="0.25">
      <c r="J265" t="s">
        <v>119</v>
      </c>
      <c r="K265">
        <v>0</v>
      </c>
      <c r="L265">
        <v>0</v>
      </c>
      <c r="M265">
        <v>0</v>
      </c>
    </row>
    <row r="266" spans="10:13" x14ac:dyDescent="0.25">
      <c r="J266" t="s">
        <v>124</v>
      </c>
      <c r="K266">
        <v>0</v>
      </c>
      <c r="L266">
        <v>0</v>
      </c>
      <c r="M266">
        <v>0</v>
      </c>
    </row>
    <row r="267" spans="10:13" x14ac:dyDescent="0.25">
      <c r="J267" t="s">
        <v>91</v>
      </c>
      <c r="K267">
        <v>1</v>
      </c>
      <c r="L267">
        <v>0</v>
      </c>
      <c r="M267">
        <v>0</v>
      </c>
    </row>
    <row r="268" spans="10:13" x14ac:dyDescent="0.25">
      <c r="J268" t="s">
        <v>96</v>
      </c>
      <c r="K268">
        <v>1</v>
      </c>
      <c r="L268">
        <v>1</v>
      </c>
      <c r="M268">
        <v>1</v>
      </c>
    </row>
    <row r="269" spans="10:13" x14ac:dyDescent="0.25">
      <c r="J269" t="s">
        <v>118</v>
      </c>
      <c r="K269">
        <v>1</v>
      </c>
      <c r="L269">
        <v>9</v>
      </c>
      <c r="M269">
        <v>0</v>
      </c>
    </row>
    <row r="270" spans="10:13" x14ac:dyDescent="0.25">
      <c r="J270" t="s">
        <v>98</v>
      </c>
      <c r="K270">
        <v>1</v>
      </c>
      <c r="L270">
        <v>0</v>
      </c>
      <c r="M270">
        <v>0</v>
      </c>
    </row>
    <row r="271" spans="10:13" x14ac:dyDescent="0.25">
      <c r="J271" t="s">
        <v>103</v>
      </c>
      <c r="K271">
        <v>1</v>
      </c>
      <c r="L271">
        <v>0</v>
      </c>
      <c r="M271">
        <v>0</v>
      </c>
    </row>
    <row r="272" spans="10:13" x14ac:dyDescent="0.25">
      <c r="J272" t="s">
        <v>109</v>
      </c>
      <c r="K272">
        <v>1</v>
      </c>
      <c r="L272">
        <v>0</v>
      </c>
      <c r="M272">
        <v>0</v>
      </c>
    </row>
    <row r="273" spans="10:13" x14ac:dyDescent="0.25">
      <c r="J273" t="s">
        <v>90</v>
      </c>
      <c r="K273">
        <v>1</v>
      </c>
      <c r="L273">
        <v>0</v>
      </c>
      <c r="M273">
        <v>0</v>
      </c>
    </row>
    <row r="274" spans="10:13" x14ac:dyDescent="0.25">
      <c r="J274" t="s">
        <v>92</v>
      </c>
      <c r="K274">
        <v>1</v>
      </c>
      <c r="L274">
        <v>0</v>
      </c>
      <c r="M274">
        <v>1</v>
      </c>
    </row>
    <row r="275" spans="10:13" x14ac:dyDescent="0.25">
      <c r="J275" t="s">
        <v>128</v>
      </c>
      <c r="K275">
        <v>1</v>
      </c>
      <c r="L275">
        <v>0</v>
      </c>
      <c r="M275">
        <v>0</v>
      </c>
    </row>
    <row r="276" spans="10:13" x14ac:dyDescent="0.25">
      <c r="J276" t="s">
        <v>104</v>
      </c>
      <c r="K276">
        <v>1</v>
      </c>
      <c r="L276">
        <v>0</v>
      </c>
      <c r="M276">
        <v>0</v>
      </c>
    </row>
    <row r="277" spans="10:13" x14ac:dyDescent="0.25">
      <c r="J277" t="s">
        <v>94</v>
      </c>
      <c r="K277">
        <v>1</v>
      </c>
      <c r="L277">
        <v>0</v>
      </c>
      <c r="M277">
        <v>0</v>
      </c>
    </row>
    <row r="278" spans="10:13" x14ac:dyDescent="0.25">
      <c r="J278" t="s">
        <v>88</v>
      </c>
      <c r="K278">
        <v>1</v>
      </c>
      <c r="L278">
        <v>0</v>
      </c>
      <c r="M278">
        <v>0</v>
      </c>
    </row>
    <row r="279" spans="10:13" x14ac:dyDescent="0.25">
      <c r="J279" t="s">
        <v>93</v>
      </c>
      <c r="K279">
        <v>1</v>
      </c>
      <c r="L279">
        <v>0</v>
      </c>
      <c r="M279">
        <v>0</v>
      </c>
    </row>
    <row r="280" spans="10:13" x14ac:dyDescent="0.25">
      <c r="J280" t="s">
        <v>111</v>
      </c>
      <c r="K280">
        <v>1</v>
      </c>
      <c r="L280">
        <v>0</v>
      </c>
      <c r="M280">
        <v>1</v>
      </c>
    </row>
    <row r="281" spans="10:13" x14ac:dyDescent="0.25">
      <c r="J281" t="s">
        <v>101</v>
      </c>
      <c r="K281">
        <v>1</v>
      </c>
      <c r="L281">
        <v>0</v>
      </c>
      <c r="M281">
        <v>0</v>
      </c>
    </row>
    <row r="282" spans="10:13" x14ac:dyDescent="0.25">
      <c r="J282" t="s">
        <v>99</v>
      </c>
      <c r="K282">
        <v>1</v>
      </c>
      <c r="L282">
        <v>1</v>
      </c>
      <c r="M282">
        <v>0</v>
      </c>
    </row>
    <row r="283" spans="10:13" x14ac:dyDescent="0.25">
      <c r="J283" t="s">
        <v>119</v>
      </c>
      <c r="K283">
        <v>0</v>
      </c>
      <c r="L283">
        <v>0</v>
      </c>
      <c r="M283">
        <v>0</v>
      </c>
    </row>
    <row r="284" spans="10:13" x14ac:dyDescent="0.25">
      <c r="J284" t="s">
        <v>124</v>
      </c>
      <c r="K284">
        <v>0</v>
      </c>
      <c r="L284">
        <v>0</v>
      </c>
      <c r="M284">
        <v>0</v>
      </c>
    </row>
    <row r="285" spans="10:13" x14ac:dyDescent="0.25">
      <c r="J285" t="s">
        <v>125</v>
      </c>
      <c r="K285">
        <v>1</v>
      </c>
      <c r="L285">
        <v>0</v>
      </c>
      <c r="M285">
        <v>0</v>
      </c>
    </row>
    <row r="286" spans="10:13" x14ac:dyDescent="0.25">
      <c r="J286" t="s">
        <v>96</v>
      </c>
      <c r="K286">
        <v>1</v>
      </c>
      <c r="L286">
        <v>0</v>
      </c>
      <c r="M286">
        <v>0</v>
      </c>
    </row>
    <row r="287" spans="10:13" x14ac:dyDescent="0.25">
      <c r="J287" t="s">
        <v>118</v>
      </c>
      <c r="K287">
        <v>1</v>
      </c>
      <c r="L287">
        <v>0</v>
      </c>
      <c r="M287">
        <v>0</v>
      </c>
    </row>
    <row r="288" spans="10:13" x14ac:dyDescent="0.25">
      <c r="J288" t="s">
        <v>98</v>
      </c>
      <c r="K288">
        <v>1</v>
      </c>
      <c r="L288">
        <v>0</v>
      </c>
      <c r="M288">
        <v>1</v>
      </c>
    </row>
    <row r="289" spans="10:13" x14ac:dyDescent="0.25">
      <c r="J289" t="s">
        <v>103</v>
      </c>
      <c r="K289">
        <v>1</v>
      </c>
      <c r="L289">
        <v>0</v>
      </c>
      <c r="M289">
        <v>0</v>
      </c>
    </row>
    <row r="290" spans="10:13" x14ac:dyDescent="0.25">
      <c r="J290" t="s">
        <v>109</v>
      </c>
      <c r="K290">
        <v>1</v>
      </c>
      <c r="L290">
        <v>1</v>
      </c>
      <c r="M290">
        <v>0</v>
      </c>
    </row>
    <row r="291" spans="10:13" x14ac:dyDescent="0.25">
      <c r="J291" t="s">
        <v>90</v>
      </c>
      <c r="K291">
        <v>0</v>
      </c>
      <c r="L291">
        <v>0</v>
      </c>
      <c r="M291">
        <v>0</v>
      </c>
    </row>
    <row r="292" spans="10:13" x14ac:dyDescent="0.25">
      <c r="J292" t="s">
        <v>92</v>
      </c>
      <c r="K292">
        <v>0</v>
      </c>
      <c r="L292">
        <v>0</v>
      </c>
      <c r="M292">
        <v>0</v>
      </c>
    </row>
    <row r="293" spans="10:13" x14ac:dyDescent="0.25">
      <c r="J293" t="s">
        <v>55</v>
      </c>
      <c r="K293">
        <v>1</v>
      </c>
      <c r="L293">
        <v>1</v>
      </c>
      <c r="M293">
        <v>0</v>
      </c>
    </row>
    <row r="294" spans="10:13" x14ac:dyDescent="0.25">
      <c r="J294" t="s">
        <v>120</v>
      </c>
      <c r="K294">
        <v>1</v>
      </c>
      <c r="L294">
        <v>0</v>
      </c>
      <c r="M294">
        <v>0</v>
      </c>
    </row>
    <row r="295" spans="10:13" x14ac:dyDescent="0.25">
      <c r="J295" t="s">
        <v>121</v>
      </c>
      <c r="K295">
        <v>1</v>
      </c>
      <c r="L295">
        <v>0</v>
      </c>
      <c r="M295">
        <v>0</v>
      </c>
    </row>
    <row r="296" spans="10:13" x14ac:dyDescent="0.25">
      <c r="J296" t="s">
        <v>54</v>
      </c>
      <c r="K296">
        <v>1</v>
      </c>
      <c r="L296">
        <v>1</v>
      </c>
      <c r="M296">
        <v>1</v>
      </c>
    </row>
    <row r="297" spans="10:13" x14ac:dyDescent="0.25">
      <c r="J297" t="s">
        <v>51</v>
      </c>
      <c r="K297">
        <v>1</v>
      </c>
      <c r="L297">
        <v>1</v>
      </c>
      <c r="M297">
        <v>1</v>
      </c>
    </row>
    <row r="298" spans="10:13" x14ac:dyDescent="0.25">
      <c r="J298" t="s">
        <v>122</v>
      </c>
      <c r="K298">
        <v>1</v>
      </c>
      <c r="L298">
        <v>0</v>
      </c>
      <c r="M298">
        <v>1</v>
      </c>
    </row>
    <row r="299" spans="10:13" x14ac:dyDescent="0.25">
      <c r="J299" t="s">
        <v>99</v>
      </c>
      <c r="K299">
        <v>1</v>
      </c>
      <c r="L299">
        <v>2</v>
      </c>
      <c r="M299">
        <v>0</v>
      </c>
    </row>
    <row r="300" spans="10:13" x14ac:dyDescent="0.25">
      <c r="J300" t="s">
        <v>119</v>
      </c>
      <c r="K300">
        <v>0</v>
      </c>
      <c r="L300">
        <v>0</v>
      </c>
      <c r="M300">
        <v>0</v>
      </c>
    </row>
    <row r="301" spans="10:13" x14ac:dyDescent="0.25">
      <c r="J301" t="s">
        <v>124</v>
      </c>
      <c r="K301">
        <v>0</v>
      </c>
      <c r="L301">
        <v>0</v>
      </c>
      <c r="M301">
        <v>0</v>
      </c>
    </row>
    <row r="302" spans="10:13" x14ac:dyDescent="0.25">
      <c r="J302" t="s">
        <v>128</v>
      </c>
      <c r="K302">
        <v>1</v>
      </c>
      <c r="L302">
        <v>0</v>
      </c>
      <c r="M302">
        <v>0</v>
      </c>
    </row>
    <row r="303" spans="10:13" x14ac:dyDescent="0.25">
      <c r="J303" t="s">
        <v>56</v>
      </c>
      <c r="K303">
        <v>1</v>
      </c>
      <c r="L303">
        <v>0</v>
      </c>
      <c r="M303">
        <v>0</v>
      </c>
    </row>
    <row r="304" spans="10:13" x14ac:dyDescent="0.25">
      <c r="J304" t="s">
        <v>118</v>
      </c>
      <c r="K304">
        <v>1</v>
      </c>
      <c r="L304">
        <v>0</v>
      </c>
      <c r="M304">
        <v>0</v>
      </c>
    </row>
    <row r="305" spans="10:13" x14ac:dyDescent="0.25">
      <c r="J305" t="s">
        <v>49</v>
      </c>
      <c r="K305">
        <v>1</v>
      </c>
      <c r="L305">
        <v>1</v>
      </c>
      <c r="M305">
        <v>1</v>
      </c>
    </row>
    <row r="306" spans="10:13" x14ac:dyDescent="0.25">
      <c r="J306" t="s">
        <v>46</v>
      </c>
      <c r="K306">
        <v>1</v>
      </c>
      <c r="L306">
        <v>2</v>
      </c>
      <c r="M306">
        <v>2</v>
      </c>
    </row>
    <row r="307" spans="10:13" x14ac:dyDescent="0.25">
      <c r="J307" t="s">
        <v>48</v>
      </c>
      <c r="K307">
        <v>1</v>
      </c>
      <c r="L307">
        <v>1</v>
      </c>
      <c r="M307">
        <v>0</v>
      </c>
    </row>
    <row r="308" spans="10:13" x14ac:dyDescent="0.25">
      <c r="J308" t="s">
        <v>123</v>
      </c>
      <c r="K308">
        <v>0</v>
      </c>
      <c r="L308">
        <v>0</v>
      </c>
      <c r="M308">
        <v>0</v>
      </c>
    </row>
    <row r="309" spans="10:13" x14ac:dyDescent="0.25">
      <c r="J309" t="s">
        <v>127</v>
      </c>
      <c r="K309">
        <v>1</v>
      </c>
      <c r="L309">
        <v>0</v>
      </c>
      <c r="M309">
        <v>0</v>
      </c>
    </row>
    <row r="310" spans="10:13" x14ac:dyDescent="0.25">
      <c r="J310" t="s">
        <v>58</v>
      </c>
      <c r="K310">
        <v>0</v>
      </c>
      <c r="L310">
        <v>0</v>
      </c>
      <c r="M310">
        <v>0</v>
      </c>
    </row>
    <row r="311" spans="10:13" x14ac:dyDescent="0.25">
      <c r="J311" s="39" t="s">
        <v>96</v>
      </c>
      <c r="K311" s="39">
        <v>1</v>
      </c>
      <c r="L311" s="39">
        <v>0</v>
      </c>
      <c r="M311" s="39">
        <v>0</v>
      </c>
    </row>
    <row r="312" spans="10:13" x14ac:dyDescent="0.25">
      <c r="J312" s="39" t="s">
        <v>98</v>
      </c>
      <c r="K312" s="39">
        <v>1</v>
      </c>
      <c r="L312" s="39">
        <v>1</v>
      </c>
      <c r="M312" s="39">
        <v>0</v>
      </c>
    </row>
    <row r="313" spans="10:13" x14ac:dyDescent="0.25">
      <c r="J313" s="39" t="s">
        <v>107</v>
      </c>
      <c r="K313" s="39">
        <v>1</v>
      </c>
      <c r="L313" s="39">
        <v>1</v>
      </c>
      <c r="M313" s="39">
        <v>1</v>
      </c>
    </row>
    <row r="314" spans="10:13" x14ac:dyDescent="0.25">
      <c r="J314" s="39" t="s">
        <v>103</v>
      </c>
      <c r="K314" s="39">
        <v>1</v>
      </c>
      <c r="L314" s="39">
        <v>0</v>
      </c>
      <c r="M314" s="39">
        <v>0</v>
      </c>
    </row>
    <row r="315" spans="10:13" x14ac:dyDescent="0.25">
      <c r="J315" s="39" t="s">
        <v>101</v>
      </c>
      <c r="K315" s="39">
        <v>1</v>
      </c>
      <c r="L315" s="39">
        <v>1</v>
      </c>
      <c r="M315" s="39">
        <v>0</v>
      </c>
    </row>
    <row r="316" spans="10:13" x14ac:dyDescent="0.25">
      <c r="J316" s="39" t="s">
        <v>95</v>
      </c>
      <c r="K316" s="39">
        <v>1</v>
      </c>
      <c r="L316" s="39">
        <v>0</v>
      </c>
      <c r="M316" s="39">
        <v>0</v>
      </c>
    </row>
    <row r="317" spans="10:13" x14ac:dyDescent="0.25">
      <c r="J317" s="39" t="s">
        <v>118</v>
      </c>
      <c r="K317" s="39">
        <v>1</v>
      </c>
      <c r="L317" s="39">
        <v>0</v>
      </c>
      <c r="M317" s="39">
        <v>0</v>
      </c>
    </row>
    <row r="318" spans="10:13" x14ac:dyDescent="0.25">
      <c r="J318" s="39" t="s">
        <v>104</v>
      </c>
      <c r="K318" s="39">
        <v>1</v>
      </c>
      <c r="L318" s="39">
        <v>0</v>
      </c>
      <c r="M318" s="39">
        <v>0</v>
      </c>
    </row>
    <row r="319" spans="10:13" x14ac:dyDescent="0.25">
      <c r="J319" s="39" t="s">
        <v>99</v>
      </c>
      <c r="K319" s="39">
        <v>1</v>
      </c>
      <c r="L319" s="39">
        <v>0</v>
      </c>
      <c r="M319" s="39">
        <v>0</v>
      </c>
    </row>
    <row r="320" spans="10:13" x14ac:dyDescent="0.25">
      <c r="J320" s="39" t="s">
        <v>129</v>
      </c>
      <c r="K320" s="39">
        <v>1</v>
      </c>
      <c r="L320" s="39">
        <v>0</v>
      </c>
      <c r="M320" s="39">
        <v>0</v>
      </c>
    </row>
    <row r="321" spans="10:13" x14ac:dyDescent="0.25">
      <c r="J321" s="39" t="s">
        <v>92</v>
      </c>
      <c r="K321" s="39">
        <v>1</v>
      </c>
      <c r="L321" s="39">
        <v>0</v>
      </c>
      <c r="M321" s="39">
        <v>0</v>
      </c>
    </row>
    <row r="322" spans="10:13" x14ac:dyDescent="0.25">
      <c r="J322" s="39" t="s">
        <v>201</v>
      </c>
      <c r="K322" s="39">
        <v>1</v>
      </c>
      <c r="L322" s="39">
        <v>0</v>
      </c>
      <c r="M322" s="39">
        <v>0</v>
      </c>
    </row>
    <row r="323" spans="10:13" x14ac:dyDescent="0.25">
      <c r="J323" s="39" t="s">
        <v>91</v>
      </c>
      <c r="K323" s="39">
        <v>1</v>
      </c>
      <c r="L323" s="39">
        <v>0</v>
      </c>
      <c r="M323" s="39">
        <v>0</v>
      </c>
    </row>
    <row r="324" spans="10:13" x14ac:dyDescent="0.25">
      <c r="J324" s="39" t="s">
        <v>94</v>
      </c>
      <c r="K324" s="39">
        <v>1</v>
      </c>
      <c r="L324" s="39">
        <v>0</v>
      </c>
      <c r="M324" s="39">
        <v>0</v>
      </c>
    </row>
  </sheetData>
  <sortState xmlns:xlrd2="http://schemas.microsoft.com/office/spreadsheetml/2017/richdata2" ref="AX7:AY36">
    <sortCondition descending="1" ref="AY7:AY36"/>
  </sortState>
  <mergeCells count="11">
    <mergeCell ref="O93:P93"/>
    <mergeCell ref="W93:X93"/>
    <mergeCell ref="W124:X124"/>
    <mergeCell ref="O124:P124"/>
    <mergeCell ref="O64:P64"/>
    <mergeCell ref="W64:X64"/>
    <mergeCell ref="H37:I37"/>
    <mergeCell ref="H50:I50"/>
    <mergeCell ref="G64:H64"/>
    <mergeCell ref="G124:H124"/>
    <mergeCell ref="G93:H93"/>
  </mergeCells>
  <pageMargins left="0.511811024" right="0.511811024" top="0.78740157499999996" bottom="0.78740157499999996" header="0.31496062000000002" footer="0.31496062000000002"/>
  <ignoredErrors>
    <ignoredError sqref="AQ25 AQ29 AQ31 AQ35 AQ38 AQ74 AQ84 AQ89 AQ15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A0FFC-29A7-4051-929C-2A49FB52FF63}">
  <dimension ref="A5:R33"/>
  <sheetViews>
    <sheetView workbookViewId="0">
      <selection activeCell="F19" sqref="F19"/>
    </sheetView>
  </sheetViews>
  <sheetFormatPr defaultRowHeight="15" x14ac:dyDescent="0.25"/>
  <cols>
    <col min="2" max="2" width="14" customWidth="1"/>
    <col min="5" max="5" width="9.5703125" bestFit="1" customWidth="1"/>
    <col min="6" max="6" width="16.28515625" bestFit="1" customWidth="1"/>
    <col min="7" max="7" width="18.5703125" bestFit="1" customWidth="1"/>
    <col min="8" max="8" width="25.42578125" bestFit="1" customWidth="1"/>
    <col min="9" max="9" width="22.5703125" bestFit="1" customWidth="1"/>
    <col min="10" max="10" width="21.42578125" bestFit="1" customWidth="1"/>
    <col min="11" max="11" width="12.5703125" bestFit="1" customWidth="1"/>
    <col min="17" max="17" width="12.140625" bestFit="1" customWidth="1"/>
    <col min="18" max="18" width="13.42578125" bestFit="1" customWidth="1"/>
  </cols>
  <sheetData>
    <row r="5" spans="2:11" ht="15" customHeight="1" x14ac:dyDescent="0.25">
      <c r="B5" s="69" t="s">
        <v>0</v>
      </c>
      <c r="C5" s="69"/>
      <c r="D5" s="69"/>
      <c r="E5" s="69"/>
      <c r="F5" s="69"/>
      <c r="G5" s="69"/>
      <c r="H5" s="69"/>
      <c r="I5" s="69"/>
      <c r="J5" s="69"/>
      <c r="K5" s="69"/>
    </row>
    <row r="6" spans="2:11" x14ac:dyDescent="0.25"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</row>
    <row r="7" spans="2:11" x14ac:dyDescent="0.25">
      <c r="B7" s="2" t="s">
        <v>11</v>
      </c>
      <c r="C7" s="2">
        <v>2020</v>
      </c>
      <c r="D7" s="2">
        <v>1</v>
      </c>
      <c r="E7" s="2">
        <v>2</v>
      </c>
      <c r="F7" s="2">
        <v>1</v>
      </c>
      <c r="G7" s="2">
        <f t="shared" ref="G7:G11" si="0">E7/D7</f>
        <v>2</v>
      </c>
      <c r="H7" s="55">
        <f t="shared" ref="H7:H11" si="1">F7/D7</f>
        <v>1</v>
      </c>
      <c r="I7" s="2">
        <f t="shared" ref="I7:I11" si="2">SUM(E7,F7)</f>
        <v>3</v>
      </c>
      <c r="J7" s="2"/>
      <c r="K7" s="4" t="s">
        <v>12</v>
      </c>
    </row>
    <row r="8" spans="2:11" x14ac:dyDescent="0.25">
      <c r="B8" s="2" t="s">
        <v>13</v>
      </c>
      <c r="C8" s="2">
        <v>2021</v>
      </c>
      <c r="D8" s="2">
        <v>1</v>
      </c>
      <c r="E8" s="2">
        <v>2</v>
      </c>
      <c r="F8" s="2">
        <v>3</v>
      </c>
      <c r="G8" s="2">
        <f t="shared" si="0"/>
        <v>2</v>
      </c>
      <c r="H8" s="55">
        <f t="shared" si="1"/>
        <v>3</v>
      </c>
      <c r="I8" s="2">
        <f t="shared" si="2"/>
        <v>5</v>
      </c>
      <c r="J8" s="2"/>
      <c r="K8" s="4" t="s">
        <v>12</v>
      </c>
    </row>
    <row r="9" spans="2:11" x14ac:dyDescent="0.25">
      <c r="B9" s="2" t="s">
        <v>11</v>
      </c>
      <c r="C9" s="2">
        <v>2021</v>
      </c>
      <c r="D9" s="2">
        <v>1</v>
      </c>
      <c r="E9" s="2">
        <v>2</v>
      </c>
      <c r="F9" s="2">
        <v>1</v>
      </c>
      <c r="G9" s="2">
        <f t="shared" si="0"/>
        <v>2</v>
      </c>
      <c r="H9" s="55">
        <f t="shared" si="1"/>
        <v>1</v>
      </c>
      <c r="I9" s="2">
        <f t="shared" si="2"/>
        <v>3</v>
      </c>
      <c r="J9" s="2"/>
      <c r="K9" s="4" t="s">
        <v>14</v>
      </c>
    </row>
    <row r="10" spans="2:11" x14ac:dyDescent="0.25">
      <c r="B10" s="2" t="s">
        <v>15</v>
      </c>
      <c r="C10" s="2">
        <v>2022</v>
      </c>
      <c r="D10" s="2">
        <v>1</v>
      </c>
      <c r="E10" s="2">
        <v>1</v>
      </c>
      <c r="F10" s="2">
        <v>1</v>
      </c>
      <c r="G10" s="2">
        <f t="shared" si="0"/>
        <v>1</v>
      </c>
      <c r="H10" s="55">
        <f t="shared" si="1"/>
        <v>1</v>
      </c>
      <c r="I10" s="2">
        <f t="shared" si="2"/>
        <v>2</v>
      </c>
      <c r="J10" s="2"/>
      <c r="K10" s="4" t="s">
        <v>14</v>
      </c>
    </row>
    <row r="11" spans="2:11" x14ac:dyDescent="0.25">
      <c r="B11" s="2" t="s">
        <v>16</v>
      </c>
      <c r="C11" s="2">
        <v>2022</v>
      </c>
      <c r="D11" s="2">
        <v>1</v>
      </c>
      <c r="E11" s="2">
        <v>0</v>
      </c>
      <c r="F11" s="2">
        <v>1</v>
      </c>
      <c r="G11" s="2">
        <f t="shared" si="0"/>
        <v>0</v>
      </c>
      <c r="H11" s="55">
        <f t="shared" si="1"/>
        <v>1</v>
      </c>
      <c r="I11" s="2">
        <f t="shared" si="2"/>
        <v>1</v>
      </c>
      <c r="J11" s="2"/>
      <c r="K11" s="4" t="s">
        <v>14</v>
      </c>
    </row>
    <row r="12" spans="2:11" x14ac:dyDescent="0.25">
      <c r="B12" s="2" t="s">
        <v>17</v>
      </c>
      <c r="C12" s="2">
        <v>2022</v>
      </c>
      <c r="D12" s="2">
        <v>1</v>
      </c>
      <c r="E12" s="2">
        <v>0</v>
      </c>
      <c r="F12" s="2">
        <v>0</v>
      </c>
      <c r="G12" s="2">
        <f>E12/D12</f>
        <v>0</v>
      </c>
      <c r="H12" s="55">
        <f>F12/D12</f>
        <v>0</v>
      </c>
      <c r="I12" s="2">
        <f>SUM(E12,F12)</f>
        <v>0</v>
      </c>
      <c r="J12" s="2"/>
      <c r="K12" s="4" t="s">
        <v>18</v>
      </c>
    </row>
    <row r="13" spans="2:11" x14ac:dyDescent="0.25">
      <c r="B13" s="2" t="s">
        <v>19</v>
      </c>
      <c r="C13" s="2">
        <v>2023</v>
      </c>
      <c r="D13" s="2">
        <v>1</v>
      </c>
      <c r="E13" s="2">
        <v>0</v>
      </c>
      <c r="F13" s="2">
        <v>0</v>
      </c>
      <c r="G13" s="2">
        <f t="shared" ref="G13:G14" si="3">E13/D13</f>
        <v>0</v>
      </c>
      <c r="H13" s="55">
        <f t="shared" ref="H13:H14" si="4">F13/D13</f>
        <v>0</v>
      </c>
      <c r="I13" s="2">
        <f t="shared" ref="I13:I14" si="5">SUM(E13,F13)</f>
        <v>0</v>
      </c>
      <c r="J13" s="2"/>
      <c r="K13" s="4" t="s">
        <v>14</v>
      </c>
    </row>
    <row r="14" spans="2:11" x14ac:dyDescent="0.25">
      <c r="B14" s="2" t="s">
        <v>20</v>
      </c>
      <c r="C14" s="2">
        <v>2023</v>
      </c>
      <c r="D14" s="2">
        <v>1</v>
      </c>
      <c r="E14" s="2">
        <v>1</v>
      </c>
      <c r="F14" s="2">
        <v>0</v>
      </c>
      <c r="G14" s="2">
        <f t="shared" si="3"/>
        <v>1</v>
      </c>
      <c r="H14" s="55">
        <f t="shared" si="4"/>
        <v>0</v>
      </c>
      <c r="I14" s="2">
        <f t="shared" si="5"/>
        <v>1</v>
      </c>
      <c r="J14" s="2"/>
      <c r="K14" s="4" t="s">
        <v>14</v>
      </c>
    </row>
    <row r="15" spans="2:11" x14ac:dyDescent="0.25">
      <c r="B15" s="2" t="s">
        <v>11</v>
      </c>
      <c r="C15" s="2">
        <v>2024</v>
      </c>
      <c r="D15" s="2">
        <v>1</v>
      </c>
      <c r="E15" s="2">
        <v>3</v>
      </c>
      <c r="F15" s="2">
        <v>0</v>
      </c>
      <c r="G15" s="2">
        <f>E15/D15</f>
        <v>3</v>
      </c>
      <c r="H15" s="55">
        <f>F15/D15</f>
        <v>0</v>
      </c>
      <c r="I15" s="2">
        <f>SUM(E15,F15)</f>
        <v>3</v>
      </c>
      <c r="J15" s="2"/>
      <c r="K15" s="4" t="s">
        <v>14</v>
      </c>
    </row>
    <row r="16" spans="2:11" x14ac:dyDescent="0.25">
      <c r="B16" s="2" t="s">
        <v>15</v>
      </c>
      <c r="C16" s="2" t="s">
        <v>237</v>
      </c>
      <c r="D16" s="2" t="s">
        <v>238</v>
      </c>
      <c r="E16" s="2">
        <v>1</v>
      </c>
      <c r="F16" s="2">
        <v>0</v>
      </c>
      <c r="G16" s="2">
        <f t="shared" ref="G16:G18" si="6">E16/D16</f>
        <v>1</v>
      </c>
      <c r="H16" s="55">
        <f t="shared" ref="H16:H18" si="7">F16/D16</f>
        <v>0</v>
      </c>
      <c r="I16" s="2">
        <f t="shared" ref="I16:I17" si="8">SUM(E16,F16)</f>
        <v>1</v>
      </c>
      <c r="J16" s="2"/>
      <c r="K16" s="4" t="s">
        <v>14</v>
      </c>
    </row>
    <row r="17" spans="1:18" x14ac:dyDescent="0.25">
      <c r="B17" s="2" t="s">
        <v>203</v>
      </c>
      <c r="C17" s="2">
        <v>2025</v>
      </c>
      <c r="D17" s="2">
        <v>1</v>
      </c>
      <c r="E17" s="2">
        <v>1</v>
      </c>
      <c r="F17" s="2">
        <v>1</v>
      </c>
      <c r="G17" s="2">
        <f t="shared" si="6"/>
        <v>1</v>
      </c>
      <c r="H17" s="55">
        <f t="shared" si="7"/>
        <v>1</v>
      </c>
      <c r="I17" s="2">
        <f t="shared" si="8"/>
        <v>2</v>
      </c>
      <c r="J17" s="2"/>
      <c r="K17" s="4" t="s">
        <v>14</v>
      </c>
    </row>
    <row r="18" spans="1:18" x14ac:dyDescent="0.25">
      <c r="B18" s="2" t="s">
        <v>15</v>
      </c>
      <c r="C18" s="2">
        <v>2026</v>
      </c>
      <c r="D18" s="2">
        <v>1</v>
      </c>
      <c r="E18" s="2">
        <v>1</v>
      </c>
      <c r="F18" s="2">
        <v>0</v>
      </c>
      <c r="G18" s="2">
        <f t="shared" si="6"/>
        <v>1</v>
      </c>
      <c r="H18" s="55">
        <f t="shared" si="7"/>
        <v>0</v>
      </c>
      <c r="I18" s="2">
        <f>SUM(E18,F18)</f>
        <v>1</v>
      </c>
      <c r="J18" s="2"/>
      <c r="K18" s="4" t="s">
        <v>14</v>
      </c>
    </row>
    <row r="19" spans="1:18" x14ac:dyDescent="0.25">
      <c r="B19" s="57" t="s">
        <v>21</v>
      </c>
      <c r="C19" s="58"/>
      <c r="D19" s="58">
        <f>SUBTOTAL(109,Tabela24813[Jogos])</f>
        <v>11</v>
      </c>
      <c r="E19" s="58">
        <f>SUBTOTAL(109,Tabela24813[Gols])</f>
        <v>14</v>
      </c>
      <c r="F19" s="58">
        <f>SUBTOTAL(109,Tabela24813[Assistencias])</f>
        <v>8</v>
      </c>
      <c r="G19" s="59">
        <f>SUBTOTAL(101,Tabela24813[Media de Gols])</f>
        <v>1.1666666666666667</v>
      </c>
      <c r="H19" s="59">
        <f>SUBTOTAL(101,Tabela24813[Media de Assistencias])</f>
        <v>0.66666666666666663</v>
      </c>
      <c r="I19" s="58">
        <f>SUBTOTAL(109,Tabela24813[Gols e Assistencias])</f>
        <v>22</v>
      </c>
      <c r="J19" s="60">
        <f>Tabela24813[[#Totals],[Gols e Assistencias]]/Tabela24813[[#Totals],[Jogos]]</f>
        <v>2</v>
      </c>
      <c r="K19" s="61"/>
    </row>
    <row r="21" spans="1:18" x14ac:dyDescent="0.25">
      <c r="A21" s="17"/>
      <c r="B21" s="10" t="s">
        <v>1</v>
      </c>
      <c r="C21" s="2" t="s">
        <v>2</v>
      </c>
      <c r="D21" s="2" t="s">
        <v>22</v>
      </c>
      <c r="E21" s="2" t="s">
        <v>23</v>
      </c>
      <c r="F21" s="2" t="s">
        <v>23</v>
      </c>
      <c r="G21" s="2" t="s">
        <v>22</v>
      </c>
      <c r="H21" s="2" t="s">
        <v>24</v>
      </c>
      <c r="I21" s="2" t="s">
        <v>10</v>
      </c>
      <c r="K21" s="2" t="s">
        <v>1</v>
      </c>
      <c r="L21" s="2" t="s">
        <v>2</v>
      </c>
      <c r="M21" s="2" t="s">
        <v>22</v>
      </c>
      <c r="N21" s="2" t="s">
        <v>23</v>
      </c>
      <c r="O21" s="2" t="s">
        <v>23</v>
      </c>
      <c r="P21" s="2" t="s">
        <v>22</v>
      </c>
      <c r="Q21" s="2" t="s">
        <v>10</v>
      </c>
      <c r="R21" s="56" t="s">
        <v>236</v>
      </c>
    </row>
    <row r="22" spans="1:18" x14ac:dyDescent="0.25">
      <c r="A22" s="17"/>
      <c r="B22" s="10" t="s">
        <v>11</v>
      </c>
      <c r="C22" s="2">
        <v>2020</v>
      </c>
      <c r="D22" s="2" t="s">
        <v>25</v>
      </c>
      <c r="E22" s="2">
        <v>6</v>
      </c>
      <c r="F22" s="2">
        <v>7</v>
      </c>
      <c r="G22" s="2" t="s">
        <v>26</v>
      </c>
      <c r="H22" s="4">
        <f t="shared" ref="H22:H27" si="9">I7/E22</f>
        <v>0.5</v>
      </c>
      <c r="I22" s="4" t="s">
        <v>12</v>
      </c>
      <c r="K22" s="2" t="s">
        <v>11</v>
      </c>
      <c r="L22" s="2">
        <v>2021</v>
      </c>
      <c r="M22" s="2" t="s">
        <v>25</v>
      </c>
      <c r="N22" s="2">
        <v>6</v>
      </c>
      <c r="O22" s="2">
        <v>9</v>
      </c>
      <c r="P22" s="2" t="s">
        <v>26</v>
      </c>
      <c r="Q22" s="4" t="s">
        <v>14</v>
      </c>
      <c r="R22" s="56">
        <f>SUM(N22:O22)</f>
        <v>15</v>
      </c>
    </row>
    <row r="23" spans="1:18" x14ac:dyDescent="0.25">
      <c r="A23" s="17"/>
      <c r="B23" s="10" t="s">
        <v>13</v>
      </c>
      <c r="C23" s="2">
        <v>2021</v>
      </c>
      <c r="D23" s="2" t="s">
        <v>25</v>
      </c>
      <c r="E23" s="2">
        <v>10</v>
      </c>
      <c r="F23" s="2">
        <v>10</v>
      </c>
      <c r="G23" s="2" t="s">
        <v>26</v>
      </c>
      <c r="H23" s="4">
        <f t="shared" si="9"/>
        <v>0.5</v>
      </c>
      <c r="I23" s="4" t="s">
        <v>12</v>
      </c>
      <c r="K23" s="2" t="s">
        <v>15</v>
      </c>
      <c r="L23" s="2">
        <v>2022</v>
      </c>
      <c r="M23" s="2" t="s">
        <v>27</v>
      </c>
      <c r="N23" s="2">
        <v>4</v>
      </c>
      <c r="O23" s="2">
        <v>5</v>
      </c>
      <c r="P23" s="2" t="s">
        <v>28</v>
      </c>
      <c r="Q23" s="4" t="s">
        <v>14</v>
      </c>
      <c r="R23" s="56">
        <f t="shared" ref="R23:R30" si="10">SUM(N23:O23)</f>
        <v>9</v>
      </c>
    </row>
    <row r="24" spans="1:18" x14ac:dyDescent="0.25">
      <c r="A24" s="17"/>
      <c r="B24" s="10" t="s">
        <v>11</v>
      </c>
      <c r="C24" s="2">
        <v>2021</v>
      </c>
      <c r="D24" s="2" t="s">
        <v>25</v>
      </c>
      <c r="E24" s="2">
        <v>6</v>
      </c>
      <c r="F24" s="2">
        <v>9</v>
      </c>
      <c r="G24" s="2" t="s">
        <v>26</v>
      </c>
      <c r="H24" s="4">
        <f t="shared" si="9"/>
        <v>0.5</v>
      </c>
      <c r="I24" s="4" t="s">
        <v>14</v>
      </c>
      <c r="K24" s="2" t="s">
        <v>16</v>
      </c>
      <c r="L24" s="2">
        <v>2022</v>
      </c>
      <c r="M24" s="2" t="s">
        <v>27</v>
      </c>
      <c r="N24" s="2">
        <v>1</v>
      </c>
      <c r="O24" s="11">
        <v>1</v>
      </c>
      <c r="P24" s="2" t="s">
        <v>28</v>
      </c>
      <c r="Q24" s="4" t="s">
        <v>14</v>
      </c>
      <c r="R24" s="56">
        <f t="shared" si="10"/>
        <v>2</v>
      </c>
    </row>
    <row r="25" spans="1:18" x14ac:dyDescent="0.25">
      <c r="A25" s="17"/>
      <c r="B25" s="10" t="s">
        <v>15</v>
      </c>
      <c r="C25" s="2">
        <v>2022</v>
      </c>
      <c r="D25" s="2" t="s">
        <v>27</v>
      </c>
      <c r="E25" s="2">
        <v>4</v>
      </c>
      <c r="F25" s="2">
        <v>5</v>
      </c>
      <c r="G25" s="2" t="s">
        <v>28</v>
      </c>
      <c r="H25" s="4">
        <f t="shared" si="9"/>
        <v>0.5</v>
      </c>
      <c r="I25" s="4" t="s">
        <v>14</v>
      </c>
      <c r="K25" s="2" t="s">
        <v>19</v>
      </c>
      <c r="L25" s="2">
        <v>2023</v>
      </c>
      <c r="M25" s="2" t="s">
        <v>29</v>
      </c>
      <c r="N25" s="2">
        <v>0</v>
      </c>
      <c r="O25" s="11">
        <v>0</v>
      </c>
      <c r="P25" s="2" t="s">
        <v>30</v>
      </c>
      <c r="Q25" s="4" t="s">
        <v>14</v>
      </c>
      <c r="R25" s="56">
        <f t="shared" si="10"/>
        <v>0</v>
      </c>
    </row>
    <row r="26" spans="1:18" x14ac:dyDescent="0.25">
      <c r="A26" s="17"/>
      <c r="B26" s="10" t="s">
        <v>16</v>
      </c>
      <c r="C26" s="2">
        <v>2022</v>
      </c>
      <c r="D26" s="2" t="s">
        <v>27</v>
      </c>
      <c r="E26" s="2">
        <v>1</v>
      </c>
      <c r="F26" s="11">
        <v>1</v>
      </c>
      <c r="G26" s="2" t="s">
        <v>28</v>
      </c>
      <c r="H26" s="4">
        <f t="shared" si="9"/>
        <v>1</v>
      </c>
      <c r="I26" s="4" t="s">
        <v>14</v>
      </c>
      <c r="K26" s="2" t="s">
        <v>20</v>
      </c>
      <c r="L26" s="2">
        <v>2023</v>
      </c>
      <c r="M26" s="2" t="s">
        <v>29</v>
      </c>
      <c r="N26" s="2">
        <v>3</v>
      </c>
      <c r="O26" s="11">
        <v>2</v>
      </c>
      <c r="P26" s="2" t="s">
        <v>30</v>
      </c>
      <c r="Q26" s="4" t="s">
        <v>14</v>
      </c>
      <c r="R26" s="56">
        <f t="shared" si="10"/>
        <v>5</v>
      </c>
    </row>
    <row r="27" spans="1:18" x14ac:dyDescent="0.25">
      <c r="A27" s="17"/>
      <c r="B27" s="10" t="s">
        <v>17</v>
      </c>
      <c r="C27" s="12">
        <v>2022</v>
      </c>
      <c r="D27" s="2" t="s">
        <v>27</v>
      </c>
      <c r="E27" s="12">
        <v>10</v>
      </c>
      <c r="F27" s="13">
        <v>3</v>
      </c>
      <c r="G27" s="2" t="s">
        <v>28</v>
      </c>
      <c r="H27" s="4">
        <f t="shared" si="9"/>
        <v>0</v>
      </c>
      <c r="I27" s="4" t="s">
        <v>18</v>
      </c>
      <c r="K27" s="2" t="s">
        <v>11</v>
      </c>
      <c r="L27" s="2">
        <v>2024</v>
      </c>
      <c r="M27" s="2" t="s">
        <v>31</v>
      </c>
      <c r="N27" s="2">
        <v>5</v>
      </c>
      <c r="O27" s="11">
        <v>3</v>
      </c>
      <c r="P27" s="2" t="s">
        <v>32</v>
      </c>
      <c r="Q27" s="4" t="s">
        <v>14</v>
      </c>
      <c r="R27" s="56">
        <f t="shared" si="10"/>
        <v>8</v>
      </c>
    </row>
    <row r="28" spans="1:18" x14ac:dyDescent="0.25">
      <c r="A28" s="17"/>
      <c r="B28" s="15" t="s">
        <v>19</v>
      </c>
      <c r="C28" s="12">
        <v>2023</v>
      </c>
      <c r="D28" s="12" t="s">
        <v>29</v>
      </c>
      <c r="E28" s="12">
        <v>0</v>
      </c>
      <c r="F28" s="13">
        <v>0</v>
      </c>
      <c r="G28" s="12" t="s">
        <v>30</v>
      </c>
      <c r="H28" s="4">
        <f>IFERROR(I13/E28,0)</f>
        <v>0</v>
      </c>
      <c r="I28" s="4" t="s">
        <v>14</v>
      </c>
      <c r="K28" s="2" t="s">
        <v>15</v>
      </c>
      <c r="L28" s="2" t="s">
        <v>237</v>
      </c>
      <c r="M28" s="2" t="s">
        <v>194</v>
      </c>
      <c r="N28" s="2">
        <v>3</v>
      </c>
      <c r="O28" s="54">
        <v>0</v>
      </c>
      <c r="P28" s="2" t="s">
        <v>199</v>
      </c>
      <c r="Q28" s="4" t="s">
        <v>14</v>
      </c>
      <c r="R28" s="56">
        <f t="shared" si="10"/>
        <v>3</v>
      </c>
    </row>
    <row r="29" spans="1:18" x14ac:dyDescent="0.25">
      <c r="A29" s="17"/>
      <c r="B29" s="15" t="s">
        <v>20</v>
      </c>
      <c r="C29" s="12">
        <v>2023</v>
      </c>
      <c r="D29" s="12" t="s">
        <v>29</v>
      </c>
      <c r="E29" s="12">
        <v>3</v>
      </c>
      <c r="F29" s="13">
        <v>2</v>
      </c>
      <c r="G29" s="12" t="s">
        <v>30</v>
      </c>
      <c r="H29" s="4">
        <f>I14/E29</f>
        <v>0.33333333333333331</v>
      </c>
      <c r="I29" s="4" t="s">
        <v>14</v>
      </c>
      <c r="K29" s="2" t="s">
        <v>203</v>
      </c>
      <c r="L29" s="2">
        <v>2025</v>
      </c>
      <c r="M29" s="2" t="s">
        <v>194</v>
      </c>
      <c r="N29" s="2">
        <v>3</v>
      </c>
      <c r="O29" s="54">
        <v>2</v>
      </c>
      <c r="P29" s="2" t="s">
        <v>199</v>
      </c>
      <c r="Q29" s="4" t="s">
        <v>14</v>
      </c>
      <c r="R29" s="56">
        <f t="shared" si="10"/>
        <v>5</v>
      </c>
    </row>
    <row r="30" spans="1:18" x14ac:dyDescent="0.25">
      <c r="A30" s="17"/>
      <c r="B30" s="12" t="s">
        <v>11</v>
      </c>
      <c r="C30" s="12">
        <v>2024</v>
      </c>
      <c r="D30" s="12" t="s">
        <v>31</v>
      </c>
      <c r="E30" s="12">
        <v>5</v>
      </c>
      <c r="F30" s="12">
        <v>3</v>
      </c>
      <c r="G30" s="12" t="s">
        <v>32</v>
      </c>
      <c r="H30" s="4">
        <f>I15/E30</f>
        <v>0.6</v>
      </c>
      <c r="I30" s="4" t="s">
        <v>14</v>
      </c>
      <c r="K30" s="2" t="s">
        <v>15</v>
      </c>
      <c r="L30" s="2">
        <v>2026</v>
      </c>
      <c r="M30" s="2" t="s">
        <v>239</v>
      </c>
      <c r="N30" s="2">
        <v>2</v>
      </c>
      <c r="O30" s="2">
        <v>3</v>
      </c>
      <c r="P30" s="2" t="s">
        <v>240</v>
      </c>
      <c r="Q30" s="4" t="s">
        <v>14</v>
      </c>
      <c r="R30" s="56">
        <f t="shared" si="10"/>
        <v>5</v>
      </c>
    </row>
    <row r="31" spans="1:18" x14ac:dyDescent="0.25">
      <c r="B31" s="2" t="s">
        <v>15</v>
      </c>
      <c r="C31" s="2" t="s">
        <v>237</v>
      </c>
      <c r="D31" s="2" t="s">
        <v>194</v>
      </c>
      <c r="E31" s="2">
        <v>3</v>
      </c>
      <c r="F31" s="54">
        <v>0</v>
      </c>
      <c r="G31" s="2" t="s">
        <v>199</v>
      </c>
      <c r="H31" s="4">
        <f>I16/E31</f>
        <v>0.33333333333333331</v>
      </c>
      <c r="I31" s="4" t="s">
        <v>14</v>
      </c>
    </row>
    <row r="32" spans="1:18" x14ac:dyDescent="0.25">
      <c r="B32" s="2" t="s">
        <v>203</v>
      </c>
      <c r="C32" s="2">
        <v>2025</v>
      </c>
      <c r="D32" s="2" t="s">
        <v>194</v>
      </c>
      <c r="E32" s="2">
        <v>3</v>
      </c>
      <c r="F32" s="54">
        <v>2</v>
      </c>
      <c r="G32" s="2" t="s">
        <v>199</v>
      </c>
      <c r="H32" s="4">
        <f>I17/E32</f>
        <v>0.66666666666666663</v>
      </c>
      <c r="I32" s="4" t="s">
        <v>14</v>
      </c>
    </row>
    <row r="33" spans="2:9" x14ac:dyDescent="0.25">
      <c r="B33" s="2" t="s">
        <v>15</v>
      </c>
      <c r="C33" s="2">
        <v>2026</v>
      </c>
      <c r="D33" s="2" t="s">
        <v>239</v>
      </c>
      <c r="E33" s="2">
        <v>2</v>
      </c>
      <c r="F33" s="2">
        <v>3</v>
      </c>
      <c r="G33" s="2" t="s">
        <v>240</v>
      </c>
      <c r="H33" s="4">
        <f>I18/E33</f>
        <v>0.5</v>
      </c>
      <c r="I33" s="4" t="s">
        <v>14</v>
      </c>
    </row>
  </sheetData>
  <mergeCells count="1">
    <mergeCell ref="B5:K5"/>
  </mergeCells>
  <phoneticPr fontId="7" type="noConversion"/>
  <pageMargins left="0.511811024" right="0.511811024" top="0.78740157499999996" bottom="0.78740157499999996" header="0.31496062000000002" footer="0.31496062000000002"/>
  <ignoredErrors>
    <ignoredError sqref="C16:D16 C31" numberStoredAsText="1"/>
    <ignoredError sqref="H28" formula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56348-0D80-41B2-A6ED-0B7CAF4F55A7}">
  <dimension ref="A1:AF50"/>
  <sheetViews>
    <sheetView workbookViewId="0">
      <selection activeCell="W26" sqref="W26:X26"/>
    </sheetView>
  </sheetViews>
  <sheetFormatPr defaultRowHeight="15" x14ac:dyDescent="0.25"/>
  <cols>
    <col min="1" max="1" width="5" customWidth="1"/>
    <col min="2" max="2" width="12.140625" bestFit="1" customWidth="1"/>
    <col min="6" max="6" width="16" bestFit="1" customWidth="1"/>
    <col min="7" max="7" width="5.7109375" customWidth="1"/>
    <col min="8" max="8" width="5" customWidth="1"/>
    <col min="9" max="9" width="12.140625" bestFit="1" customWidth="1"/>
    <col min="12" max="12" width="15.7109375" customWidth="1"/>
    <col min="13" max="13" width="16" bestFit="1" customWidth="1"/>
    <col min="14" max="14" width="5.7109375" customWidth="1"/>
    <col min="15" max="15" width="5" customWidth="1"/>
    <col min="16" max="16" width="12.140625" bestFit="1" customWidth="1"/>
    <col min="20" max="20" width="16" bestFit="1" customWidth="1"/>
    <col min="21" max="21" width="5.7109375" customWidth="1"/>
    <col min="22" max="22" width="5" customWidth="1"/>
    <col min="23" max="23" width="12.140625" bestFit="1" customWidth="1"/>
    <col min="27" max="27" width="16" bestFit="1" customWidth="1"/>
    <col min="29" max="29" width="3" bestFit="1" customWidth="1"/>
    <col min="30" max="30" width="13.5703125" bestFit="1" customWidth="1"/>
    <col min="31" max="31" width="10.42578125" customWidth="1"/>
    <col min="33" max="33" width="9.85546875" bestFit="1" customWidth="1"/>
    <col min="34" max="34" width="5.85546875" bestFit="1" customWidth="1"/>
    <col min="35" max="35" width="5" bestFit="1" customWidth="1"/>
    <col min="36" max="36" width="6.140625" bestFit="1" customWidth="1"/>
    <col min="37" max="37" width="13.7109375" bestFit="1" customWidth="1"/>
  </cols>
  <sheetData>
    <row r="1" spans="1:32" x14ac:dyDescent="0.25">
      <c r="A1" s="24"/>
      <c r="B1" s="68" t="s">
        <v>135</v>
      </c>
      <c r="C1" s="68"/>
      <c r="D1" s="68"/>
      <c r="E1" s="68"/>
      <c r="F1" s="68"/>
      <c r="G1" s="25"/>
      <c r="H1" s="25"/>
      <c r="I1" s="68" t="s">
        <v>136</v>
      </c>
      <c r="J1" s="68"/>
      <c r="K1" s="68"/>
      <c r="L1" s="68"/>
      <c r="M1" s="68"/>
      <c r="N1" s="25"/>
      <c r="O1" s="25"/>
      <c r="P1" s="68" t="s">
        <v>137</v>
      </c>
      <c r="Q1" s="68"/>
      <c r="R1" s="68"/>
      <c r="S1" s="68"/>
      <c r="T1" s="68"/>
      <c r="U1" s="25"/>
      <c r="V1" s="25"/>
      <c r="W1" s="68" t="s">
        <v>138</v>
      </c>
      <c r="X1" s="68"/>
      <c r="Y1" s="68"/>
      <c r="Z1" s="68"/>
      <c r="AA1" s="68"/>
      <c r="AB1" s="24"/>
      <c r="AC1" s="68" t="s">
        <v>193</v>
      </c>
      <c r="AD1" s="68"/>
      <c r="AE1" s="68"/>
      <c r="AF1" s="24"/>
    </row>
    <row r="2" spans="1:32" x14ac:dyDescent="0.25">
      <c r="A2" s="24"/>
      <c r="B2" t="s">
        <v>115</v>
      </c>
      <c r="C2" t="s">
        <v>3</v>
      </c>
      <c r="D2" t="s">
        <v>4</v>
      </c>
      <c r="E2" t="s">
        <v>116</v>
      </c>
      <c r="F2" t="s">
        <v>134</v>
      </c>
      <c r="G2" s="24"/>
      <c r="H2" s="24"/>
      <c r="I2" t="s">
        <v>115</v>
      </c>
      <c r="J2" t="s">
        <v>3</v>
      </c>
      <c r="K2" t="s">
        <v>4</v>
      </c>
      <c r="L2" t="s">
        <v>116</v>
      </c>
      <c r="M2" t="s">
        <v>134</v>
      </c>
      <c r="N2" s="24"/>
      <c r="O2" s="24"/>
      <c r="P2" t="s">
        <v>115</v>
      </c>
      <c r="Q2" t="s">
        <v>3</v>
      </c>
      <c r="R2" t="s">
        <v>4</v>
      </c>
      <c r="S2" t="s">
        <v>116</v>
      </c>
      <c r="T2" t="s">
        <v>134</v>
      </c>
      <c r="U2" s="24"/>
      <c r="V2" s="24"/>
      <c r="W2" t="s">
        <v>115</v>
      </c>
      <c r="X2" t="s">
        <v>3</v>
      </c>
      <c r="Y2" t="s">
        <v>4</v>
      </c>
      <c r="Z2" t="s">
        <v>116</v>
      </c>
      <c r="AA2" t="s">
        <v>134</v>
      </c>
      <c r="AB2" s="24"/>
      <c r="AC2" s="24"/>
      <c r="AD2" s="33" t="s">
        <v>115</v>
      </c>
      <c r="AE2" s="34" t="s">
        <v>145</v>
      </c>
      <c r="AF2" s="24"/>
    </row>
    <row r="3" spans="1:32" x14ac:dyDescent="0.25">
      <c r="A3" s="26">
        <v>1</v>
      </c>
      <c r="B3" s="9" t="s">
        <v>96</v>
      </c>
      <c r="C3" s="1">
        <v>7</v>
      </c>
      <c r="D3" s="1">
        <v>2</v>
      </c>
      <c r="E3" s="1">
        <v>1</v>
      </c>
      <c r="F3" s="1">
        <f t="shared" ref="F3:F32" si="0">SUM(D3,E3)</f>
        <v>3</v>
      </c>
      <c r="G3" s="25"/>
      <c r="H3" s="26">
        <v>1</v>
      </c>
      <c r="I3" s="9" t="s">
        <v>118</v>
      </c>
      <c r="J3" s="1">
        <v>7</v>
      </c>
      <c r="K3" s="1">
        <v>9</v>
      </c>
      <c r="L3" s="1">
        <v>1</v>
      </c>
      <c r="M3" s="1">
        <f t="shared" ref="M3:M32" si="1">SUM(K3,L3)</f>
        <v>10</v>
      </c>
      <c r="N3" s="25"/>
      <c r="O3" s="26">
        <v>1</v>
      </c>
      <c r="P3" s="9" t="s">
        <v>103</v>
      </c>
      <c r="Q3" s="1">
        <v>7</v>
      </c>
      <c r="R3" s="1">
        <v>2</v>
      </c>
      <c r="S3" s="1">
        <v>5</v>
      </c>
      <c r="T3" s="1">
        <f t="shared" ref="T3:T32" si="2">SUM(R3,S3)</f>
        <v>7</v>
      </c>
      <c r="U3" s="25"/>
      <c r="V3" s="26">
        <v>1</v>
      </c>
      <c r="W3" s="9" t="s">
        <v>118</v>
      </c>
      <c r="X3" s="1">
        <v>7</v>
      </c>
      <c r="Y3" s="1">
        <v>9</v>
      </c>
      <c r="Z3" s="1">
        <v>1</v>
      </c>
      <c r="AA3" s="1">
        <f t="shared" ref="AA3:AA32" si="3">SUM(Y3,Z3)</f>
        <v>10</v>
      </c>
      <c r="AB3" s="24"/>
      <c r="AC3" s="26">
        <v>1</v>
      </c>
      <c r="AD3" s="35" t="s">
        <v>37</v>
      </c>
      <c r="AE3" s="31">
        <v>6</v>
      </c>
      <c r="AF3" s="24"/>
    </row>
    <row r="4" spans="1:32" x14ac:dyDescent="0.25">
      <c r="A4" s="26">
        <v>2</v>
      </c>
      <c r="B4" s="9" t="s">
        <v>98</v>
      </c>
      <c r="C4" s="1">
        <v>7</v>
      </c>
      <c r="D4" s="1">
        <v>6</v>
      </c>
      <c r="E4" s="1">
        <v>2</v>
      </c>
      <c r="F4" s="1">
        <f t="shared" si="0"/>
        <v>8</v>
      </c>
      <c r="G4" s="25"/>
      <c r="H4" s="26">
        <v>2</v>
      </c>
      <c r="I4" s="9" t="s">
        <v>98</v>
      </c>
      <c r="J4" s="1">
        <v>7</v>
      </c>
      <c r="K4" s="1">
        <v>6</v>
      </c>
      <c r="L4" s="1">
        <v>2</v>
      </c>
      <c r="M4" s="1">
        <f t="shared" si="1"/>
        <v>8</v>
      </c>
      <c r="N4" s="25"/>
      <c r="O4" s="26">
        <v>2</v>
      </c>
      <c r="P4" s="9" t="s">
        <v>111</v>
      </c>
      <c r="Q4" s="1">
        <v>3</v>
      </c>
      <c r="R4" s="1">
        <v>2</v>
      </c>
      <c r="S4" s="1">
        <v>3</v>
      </c>
      <c r="T4" s="1">
        <f t="shared" si="2"/>
        <v>5</v>
      </c>
      <c r="U4" s="25"/>
      <c r="V4" s="26">
        <v>2</v>
      </c>
      <c r="W4" s="9" t="s">
        <v>98</v>
      </c>
      <c r="X4" s="1">
        <v>7</v>
      </c>
      <c r="Y4" s="1">
        <v>6</v>
      </c>
      <c r="Z4" s="1">
        <v>2</v>
      </c>
      <c r="AA4" s="1">
        <f t="shared" si="3"/>
        <v>8</v>
      </c>
      <c r="AB4" s="24"/>
      <c r="AC4" s="26">
        <v>2</v>
      </c>
      <c r="AD4" s="35" t="s">
        <v>166</v>
      </c>
      <c r="AE4" s="31">
        <v>6</v>
      </c>
      <c r="AF4" s="24"/>
    </row>
    <row r="5" spans="1:32" x14ac:dyDescent="0.25">
      <c r="A5" s="26">
        <v>3</v>
      </c>
      <c r="B5" s="9" t="s">
        <v>99</v>
      </c>
      <c r="C5" s="1">
        <v>7</v>
      </c>
      <c r="D5" s="1">
        <v>6</v>
      </c>
      <c r="E5" s="1">
        <v>2</v>
      </c>
      <c r="F5" s="1">
        <f t="shared" si="0"/>
        <v>8</v>
      </c>
      <c r="G5" s="25"/>
      <c r="H5" s="26">
        <v>3</v>
      </c>
      <c r="I5" s="9" t="s">
        <v>99</v>
      </c>
      <c r="J5" s="1">
        <v>7</v>
      </c>
      <c r="K5" s="1">
        <v>6</v>
      </c>
      <c r="L5" s="1">
        <v>2</v>
      </c>
      <c r="M5" s="1">
        <f t="shared" si="1"/>
        <v>8</v>
      </c>
      <c r="N5" s="25"/>
      <c r="O5" s="26">
        <v>3</v>
      </c>
      <c r="P5" s="9" t="s">
        <v>98</v>
      </c>
      <c r="Q5" s="1">
        <v>7</v>
      </c>
      <c r="R5" s="1">
        <v>6</v>
      </c>
      <c r="S5" s="1">
        <v>2</v>
      </c>
      <c r="T5" s="1">
        <f t="shared" si="2"/>
        <v>8</v>
      </c>
      <c r="U5" s="25"/>
      <c r="V5" s="26">
        <v>3</v>
      </c>
      <c r="W5" s="9" t="s">
        <v>99</v>
      </c>
      <c r="X5" s="1">
        <v>7</v>
      </c>
      <c r="Y5" s="1">
        <v>6</v>
      </c>
      <c r="Z5" s="1">
        <v>2</v>
      </c>
      <c r="AA5" s="1">
        <f t="shared" si="3"/>
        <v>8</v>
      </c>
      <c r="AB5" s="24"/>
      <c r="AC5" s="26">
        <v>3</v>
      </c>
      <c r="AD5" s="35" t="s">
        <v>40</v>
      </c>
      <c r="AE5" s="31">
        <v>5</v>
      </c>
      <c r="AF5" s="24"/>
    </row>
    <row r="6" spans="1:32" x14ac:dyDescent="0.25">
      <c r="A6" s="26">
        <v>4</v>
      </c>
      <c r="B6" s="9" t="s">
        <v>101</v>
      </c>
      <c r="C6" s="1">
        <v>7</v>
      </c>
      <c r="D6" s="1">
        <v>1</v>
      </c>
      <c r="E6" s="1">
        <v>1</v>
      </c>
      <c r="F6" s="1">
        <f t="shared" si="0"/>
        <v>2</v>
      </c>
      <c r="G6" s="25"/>
      <c r="H6" s="26">
        <v>4</v>
      </c>
      <c r="I6" s="9" t="s">
        <v>109</v>
      </c>
      <c r="J6" s="1">
        <v>6</v>
      </c>
      <c r="K6" s="1">
        <v>4</v>
      </c>
      <c r="L6" s="1">
        <v>0</v>
      </c>
      <c r="M6" s="1">
        <f t="shared" si="1"/>
        <v>4</v>
      </c>
      <c r="N6" s="25"/>
      <c r="O6" s="26">
        <v>4</v>
      </c>
      <c r="P6" s="9" t="s">
        <v>99</v>
      </c>
      <c r="Q6" s="1">
        <v>7</v>
      </c>
      <c r="R6" s="1">
        <v>6</v>
      </c>
      <c r="S6" s="1">
        <v>2</v>
      </c>
      <c r="T6" s="1">
        <f t="shared" si="2"/>
        <v>8</v>
      </c>
      <c r="U6" s="25"/>
      <c r="V6" s="26">
        <v>4</v>
      </c>
      <c r="W6" s="9" t="s">
        <v>109</v>
      </c>
      <c r="X6" s="1">
        <v>6</v>
      </c>
      <c r="Y6" s="1">
        <v>4</v>
      </c>
      <c r="Z6" s="1">
        <v>0</v>
      </c>
      <c r="AA6" s="1">
        <f t="shared" si="3"/>
        <v>4</v>
      </c>
      <c r="AB6" s="24"/>
      <c r="AC6" s="26">
        <v>4</v>
      </c>
      <c r="AD6" s="35" t="s">
        <v>35</v>
      </c>
      <c r="AE6" s="31">
        <v>5</v>
      </c>
      <c r="AF6" s="24"/>
    </row>
    <row r="7" spans="1:32" x14ac:dyDescent="0.25">
      <c r="A7" s="26">
        <v>5</v>
      </c>
      <c r="B7" s="9" t="s">
        <v>103</v>
      </c>
      <c r="C7" s="1">
        <v>7</v>
      </c>
      <c r="D7" s="1">
        <v>2</v>
      </c>
      <c r="E7" s="1">
        <v>5</v>
      </c>
      <c r="F7" s="1">
        <f t="shared" si="0"/>
        <v>7</v>
      </c>
      <c r="G7" s="25"/>
      <c r="H7" s="26">
        <v>5</v>
      </c>
      <c r="I7" s="9" t="s">
        <v>96</v>
      </c>
      <c r="J7" s="1">
        <v>7</v>
      </c>
      <c r="K7" s="1">
        <v>2</v>
      </c>
      <c r="L7" s="1">
        <v>1</v>
      </c>
      <c r="M7" s="1">
        <f t="shared" si="1"/>
        <v>3</v>
      </c>
      <c r="N7" s="25"/>
      <c r="O7" s="26">
        <v>5</v>
      </c>
      <c r="P7" s="9" t="s">
        <v>117</v>
      </c>
      <c r="Q7" s="1">
        <v>2</v>
      </c>
      <c r="R7" s="1">
        <v>0</v>
      </c>
      <c r="S7" s="1">
        <v>2</v>
      </c>
      <c r="T7" s="1">
        <f t="shared" si="2"/>
        <v>2</v>
      </c>
      <c r="U7" s="25"/>
      <c r="V7" s="26">
        <v>5</v>
      </c>
      <c r="W7" s="9" t="s">
        <v>103</v>
      </c>
      <c r="X7" s="1">
        <v>7</v>
      </c>
      <c r="Y7" s="1">
        <v>2</v>
      </c>
      <c r="Z7" s="1">
        <v>5</v>
      </c>
      <c r="AA7" s="1">
        <f t="shared" si="3"/>
        <v>7</v>
      </c>
      <c r="AB7" s="24"/>
      <c r="AC7" s="26">
        <v>5</v>
      </c>
      <c r="AD7" s="35" t="s">
        <v>38</v>
      </c>
      <c r="AE7" s="31">
        <v>4</v>
      </c>
      <c r="AF7" s="24"/>
    </row>
    <row r="8" spans="1:32" x14ac:dyDescent="0.25">
      <c r="A8" s="26">
        <v>6</v>
      </c>
      <c r="B8" s="9" t="s">
        <v>104</v>
      </c>
      <c r="C8" s="1">
        <v>7</v>
      </c>
      <c r="D8" s="1">
        <v>1</v>
      </c>
      <c r="E8" s="1">
        <v>0</v>
      </c>
      <c r="F8" s="1">
        <f t="shared" si="0"/>
        <v>1</v>
      </c>
      <c r="G8" s="25"/>
      <c r="H8" s="26">
        <v>6</v>
      </c>
      <c r="I8" s="9" t="s">
        <v>103</v>
      </c>
      <c r="J8" s="1">
        <v>7</v>
      </c>
      <c r="K8" s="1">
        <v>2</v>
      </c>
      <c r="L8" s="1">
        <v>5</v>
      </c>
      <c r="M8" s="1">
        <f t="shared" si="1"/>
        <v>7</v>
      </c>
      <c r="N8" s="25"/>
      <c r="O8" s="26">
        <v>6</v>
      </c>
      <c r="P8" s="9" t="s">
        <v>96</v>
      </c>
      <c r="Q8" s="1">
        <v>7</v>
      </c>
      <c r="R8" s="1">
        <v>2</v>
      </c>
      <c r="S8" s="1">
        <v>1</v>
      </c>
      <c r="T8" s="1">
        <f t="shared" si="2"/>
        <v>3</v>
      </c>
      <c r="U8" s="25"/>
      <c r="V8" s="26">
        <v>6</v>
      </c>
      <c r="W8" s="9" t="s">
        <v>111</v>
      </c>
      <c r="X8" s="1">
        <v>3</v>
      </c>
      <c r="Y8" s="1">
        <v>2</v>
      </c>
      <c r="Z8" s="1">
        <v>3</v>
      </c>
      <c r="AA8" s="1">
        <f t="shared" si="3"/>
        <v>5</v>
      </c>
      <c r="AB8" s="24"/>
      <c r="AC8" s="26">
        <v>6</v>
      </c>
      <c r="AD8" s="35" t="s">
        <v>43</v>
      </c>
      <c r="AE8" s="31">
        <v>4</v>
      </c>
      <c r="AF8" s="24"/>
    </row>
    <row r="9" spans="1:32" x14ac:dyDescent="0.25">
      <c r="A9" s="26">
        <v>7</v>
      </c>
      <c r="B9" s="9" t="s">
        <v>118</v>
      </c>
      <c r="C9" s="1">
        <v>7</v>
      </c>
      <c r="D9" s="1">
        <v>9</v>
      </c>
      <c r="E9" s="1">
        <v>1</v>
      </c>
      <c r="F9" s="1">
        <f t="shared" si="0"/>
        <v>10</v>
      </c>
      <c r="G9" s="25"/>
      <c r="H9" s="26">
        <v>7</v>
      </c>
      <c r="I9" s="9" t="s">
        <v>93</v>
      </c>
      <c r="J9" s="1">
        <v>4</v>
      </c>
      <c r="K9" s="1">
        <v>2</v>
      </c>
      <c r="L9" s="1">
        <v>1</v>
      </c>
      <c r="M9" s="1">
        <f t="shared" si="1"/>
        <v>3</v>
      </c>
      <c r="N9" s="25"/>
      <c r="O9" s="26">
        <v>7</v>
      </c>
      <c r="P9" s="9" t="s">
        <v>101</v>
      </c>
      <c r="Q9" s="1">
        <v>7</v>
      </c>
      <c r="R9" s="1">
        <v>1</v>
      </c>
      <c r="S9" s="1">
        <v>1</v>
      </c>
      <c r="T9" s="1">
        <f t="shared" si="2"/>
        <v>2</v>
      </c>
      <c r="U9" s="25"/>
      <c r="V9" s="26">
        <v>7</v>
      </c>
      <c r="W9" s="9" t="s">
        <v>96</v>
      </c>
      <c r="X9" s="1">
        <v>7</v>
      </c>
      <c r="Y9" s="1">
        <v>2</v>
      </c>
      <c r="Z9" s="1">
        <v>1</v>
      </c>
      <c r="AA9" s="1">
        <f t="shared" si="3"/>
        <v>3</v>
      </c>
      <c r="AB9" s="24"/>
      <c r="AC9" s="26">
        <v>7</v>
      </c>
      <c r="AD9" s="35" t="s">
        <v>176</v>
      </c>
      <c r="AE9" s="31">
        <v>3</v>
      </c>
      <c r="AF9" s="24"/>
    </row>
    <row r="10" spans="1:32" x14ac:dyDescent="0.25">
      <c r="A10" s="26">
        <v>8</v>
      </c>
      <c r="B10" s="9" t="s">
        <v>109</v>
      </c>
      <c r="C10" s="1">
        <v>6</v>
      </c>
      <c r="D10" s="1">
        <v>4</v>
      </c>
      <c r="E10" s="1">
        <v>0</v>
      </c>
      <c r="F10" s="1">
        <f t="shared" si="0"/>
        <v>4</v>
      </c>
      <c r="G10" s="25"/>
      <c r="H10" s="26">
        <v>8</v>
      </c>
      <c r="I10" s="9" t="s">
        <v>111</v>
      </c>
      <c r="J10" s="1">
        <v>3</v>
      </c>
      <c r="K10" s="1">
        <v>2</v>
      </c>
      <c r="L10" s="1">
        <v>3</v>
      </c>
      <c r="M10" s="1">
        <f t="shared" si="1"/>
        <v>5</v>
      </c>
      <c r="N10" s="25"/>
      <c r="O10" s="26">
        <v>8</v>
      </c>
      <c r="P10" s="9" t="s">
        <v>118</v>
      </c>
      <c r="Q10" s="1">
        <v>7</v>
      </c>
      <c r="R10" s="1">
        <v>9</v>
      </c>
      <c r="S10" s="1">
        <v>1</v>
      </c>
      <c r="T10" s="1">
        <f t="shared" si="2"/>
        <v>10</v>
      </c>
      <c r="U10" s="25"/>
      <c r="V10" s="26">
        <v>8</v>
      </c>
      <c r="W10" s="9" t="s">
        <v>93</v>
      </c>
      <c r="X10" s="1">
        <v>4</v>
      </c>
      <c r="Y10" s="1">
        <v>2</v>
      </c>
      <c r="Z10" s="1">
        <v>1</v>
      </c>
      <c r="AA10" s="1">
        <f t="shared" si="3"/>
        <v>3</v>
      </c>
      <c r="AB10" s="24"/>
      <c r="AC10" s="26">
        <v>8</v>
      </c>
      <c r="AD10" s="35" t="s">
        <v>163</v>
      </c>
      <c r="AE10" s="31">
        <v>3</v>
      </c>
      <c r="AF10" s="24"/>
    </row>
    <row r="11" spans="1:32" x14ac:dyDescent="0.25">
      <c r="A11" s="26">
        <v>9</v>
      </c>
      <c r="B11" s="9" t="s">
        <v>97</v>
      </c>
      <c r="C11" s="1">
        <v>5</v>
      </c>
      <c r="D11" s="1">
        <v>0</v>
      </c>
      <c r="E11" s="1">
        <v>0</v>
      </c>
      <c r="F11" s="1">
        <f t="shared" si="0"/>
        <v>0</v>
      </c>
      <c r="G11" s="25"/>
      <c r="H11" s="26">
        <v>9</v>
      </c>
      <c r="I11" s="9" t="s">
        <v>107</v>
      </c>
      <c r="J11" s="1">
        <v>2</v>
      </c>
      <c r="K11" s="1">
        <v>2</v>
      </c>
      <c r="L11" s="1">
        <v>1</v>
      </c>
      <c r="M11" s="1">
        <f t="shared" si="1"/>
        <v>3</v>
      </c>
      <c r="N11" s="25"/>
      <c r="O11" s="26">
        <v>9</v>
      </c>
      <c r="P11" s="9" t="s">
        <v>93</v>
      </c>
      <c r="Q11" s="1">
        <v>4</v>
      </c>
      <c r="R11" s="1">
        <v>2</v>
      </c>
      <c r="S11" s="1">
        <v>1</v>
      </c>
      <c r="T11" s="1">
        <f t="shared" si="2"/>
        <v>3</v>
      </c>
      <c r="U11" s="25"/>
      <c r="V11" s="26">
        <v>9</v>
      </c>
      <c r="W11" s="9" t="s">
        <v>107</v>
      </c>
      <c r="X11" s="1">
        <v>2</v>
      </c>
      <c r="Y11" s="1">
        <v>2</v>
      </c>
      <c r="Z11" s="1">
        <v>1</v>
      </c>
      <c r="AA11" s="1">
        <f t="shared" si="3"/>
        <v>3</v>
      </c>
      <c r="AB11" s="24"/>
      <c r="AC11" s="26">
        <v>9</v>
      </c>
      <c r="AD11" s="35" t="s">
        <v>167</v>
      </c>
      <c r="AE11" s="31">
        <v>3</v>
      </c>
      <c r="AF11" s="24"/>
    </row>
    <row r="12" spans="1:32" x14ac:dyDescent="0.25">
      <c r="A12" s="26">
        <v>10</v>
      </c>
      <c r="B12" s="9" t="s">
        <v>88</v>
      </c>
      <c r="C12" s="1">
        <v>5</v>
      </c>
      <c r="D12" s="1">
        <v>0</v>
      </c>
      <c r="E12" s="1">
        <v>0</v>
      </c>
      <c r="F12" s="1">
        <f t="shared" si="0"/>
        <v>0</v>
      </c>
      <c r="G12" s="25"/>
      <c r="H12" s="26">
        <v>10</v>
      </c>
      <c r="I12" s="9" t="s">
        <v>101</v>
      </c>
      <c r="J12" s="1">
        <v>7</v>
      </c>
      <c r="K12" s="1">
        <v>1</v>
      </c>
      <c r="L12" s="1">
        <v>1</v>
      </c>
      <c r="M12" s="1">
        <f t="shared" si="1"/>
        <v>2</v>
      </c>
      <c r="N12" s="25"/>
      <c r="O12" s="26">
        <v>10</v>
      </c>
      <c r="P12" s="9" t="s">
        <v>92</v>
      </c>
      <c r="Q12" s="1">
        <v>4</v>
      </c>
      <c r="R12" s="1">
        <v>0</v>
      </c>
      <c r="S12" s="1">
        <v>1</v>
      </c>
      <c r="T12" s="1">
        <f t="shared" si="2"/>
        <v>1</v>
      </c>
      <c r="U12" s="25"/>
      <c r="V12" s="26">
        <v>10</v>
      </c>
      <c r="W12" s="9" t="s">
        <v>101</v>
      </c>
      <c r="X12" s="1">
        <v>7</v>
      </c>
      <c r="Y12" s="1">
        <v>1</v>
      </c>
      <c r="Z12" s="1">
        <v>1</v>
      </c>
      <c r="AA12" s="1">
        <f t="shared" si="3"/>
        <v>2</v>
      </c>
      <c r="AB12" s="24"/>
      <c r="AC12" s="26">
        <v>10</v>
      </c>
      <c r="AD12" s="35" t="s">
        <v>169</v>
      </c>
      <c r="AE12" s="31">
        <v>3</v>
      </c>
      <c r="AF12" s="24"/>
    </row>
    <row r="13" spans="1:32" x14ac:dyDescent="0.25">
      <c r="A13" s="26">
        <v>11</v>
      </c>
      <c r="B13" s="9" t="s">
        <v>94</v>
      </c>
      <c r="C13" s="1">
        <v>5</v>
      </c>
      <c r="D13" s="1">
        <v>0</v>
      </c>
      <c r="E13" s="1">
        <v>0</v>
      </c>
      <c r="F13" s="1">
        <f t="shared" si="0"/>
        <v>0</v>
      </c>
      <c r="G13" s="25"/>
      <c r="H13" s="26">
        <v>11</v>
      </c>
      <c r="I13" s="9" t="s">
        <v>104</v>
      </c>
      <c r="J13" s="1">
        <v>7</v>
      </c>
      <c r="K13" s="1">
        <v>1</v>
      </c>
      <c r="L13" s="1">
        <v>0</v>
      </c>
      <c r="M13" s="1">
        <f t="shared" si="1"/>
        <v>1</v>
      </c>
      <c r="N13" s="25"/>
      <c r="O13" s="26">
        <v>11</v>
      </c>
      <c r="P13" s="9" t="s">
        <v>107</v>
      </c>
      <c r="Q13" s="1">
        <v>2</v>
      </c>
      <c r="R13" s="1">
        <v>2</v>
      </c>
      <c r="S13" s="1">
        <v>1</v>
      </c>
      <c r="T13" s="1">
        <f t="shared" si="2"/>
        <v>3</v>
      </c>
      <c r="U13" s="25"/>
      <c r="V13" s="26">
        <v>11</v>
      </c>
      <c r="W13" s="9" t="s">
        <v>104</v>
      </c>
      <c r="X13" s="1">
        <v>7</v>
      </c>
      <c r="Y13" s="1">
        <v>1</v>
      </c>
      <c r="Z13" s="1">
        <v>0</v>
      </c>
      <c r="AA13" s="1">
        <f t="shared" si="3"/>
        <v>1</v>
      </c>
      <c r="AB13" s="24"/>
      <c r="AC13" s="26">
        <v>11</v>
      </c>
      <c r="AD13" s="35" t="s">
        <v>171</v>
      </c>
      <c r="AE13" s="31">
        <v>3</v>
      </c>
      <c r="AF13" s="24"/>
    </row>
    <row r="14" spans="1:32" x14ac:dyDescent="0.25">
      <c r="A14" s="26">
        <v>12</v>
      </c>
      <c r="B14" s="9" t="s">
        <v>90</v>
      </c>
      <c r="C14" s="1">
        <v>4</v>
      </c>
      <c r="D14" s="1">
        <v>0</v>
      </c>
      <c r="E14" s="1">
        <v>0</v>
      </c>
      <c r="F14" s="1">
        <f t="shared" si="0"/>
        <v>0</v>
      </c>
      <c r="G14" s="25"/>
      <c r="H14" s="26">
        <v>12</v>
      </c>
      <c r="I14" s="9" t="s">
        <v>91</v>
      </c>
      <c r="J14" s="1">
        <v>4</v>
      </c>
      <c r="K14" s="1">
        <v>1</v>
      </c>
      <c r="L14" s="1">
        <v>0</v>
      </c>
      <c r="M14" s="1">
        <f t="shared" si="1"/>
        <v>1</v>
      </c>
      <c r="N14" s="25"/>
      <c r="O14" s="26">
        <v>12</v>
      </c>
      <c r="P14" s="9" t="s">
        <v>100</v>
      </c>
      <c r="Q14" s="1">
        <v>1</v>
      </c>
      <c r="R14" s="1">
        <v>0</v>
      </c>
      <c r="S14" s="1">
        <v>1</v>
      </c>
      <c r="T14" s="1">
        <f t="shared" si="2"/>
        <v>1</v>
      </c>
      <c r="U14" s="25"/>
      <c r="V14" s="26">
        <v>12</v>
      </c>
      <c r="W14" s="9" t="s">
        <v>91</v>
      </c>
      <c r="X14" s="1">
        <v>4</v>
      </c>
      <c r="Y14" s="1">
        <v>1</v>
      </c>
      <c r="Z14" s="1">
        <v>0</v>
      </c>
      <c r="AA14" s="1">
        <f t="shared" si="3"/>
        <v>1</v>
      </c>
      <c r="AB14" s="24"/>
      <c r="AC14" s="26">
        <v>12</v>
      </c>
      <c r="AD14" s="35" t="s">
        <v>173</v>
      </c>
      <c r="AE14" s="31">
        <v>3</v>
      </c>
      <c r="AF14" s="24"/>
    </row>
    <row r="15" spans="1:32" x14ac:dyDescent="0.25">
      <c r="A15" s="26">
        <v>13</v>
      </c>
      <c r="B15" s="9" t="s">
        <v>93</v>
      </c>
      <c r="C15" s="1">
        <v>4</v>
      </c>
      <c r="D15" s="1">
        <v>2</v>
      </c>
      <c r="E15" s="1">
        <v>1</v>
      </c>
      <c r="F15" s="1">
        <f t="shared" si="0"/>
        <v>3</v>
      </c>
      <c r="G15" s="25"/>
      <c r="H15" s="26">
        <v>13</v>
      </c>
      <c r="I15" s="9" t="s">
        <v>105</v>
      </c>
      <c r="J15" s="1">
        <v>1</v>
      </c>
      <c r="K15" s="1">
        <v>1</v>
      </c>
      <c r="L15" s="1">
        <v>0</v>
      </c>
      <c r="M15" s="1">
        <f t="shared" si="1"/>
        <v>1</v>
      </c>
      <c r="N15" s="25"/>
      <c r="O15" s="26">
        <v>13</v>
      </c>
      <c r="P15" s="9" t="s">
        <v>104</v>
      </c>
      <c r="Q15" s="1">
        <v>7</v>
      </c>
      <c r="R15" s="1">
        <v>1</v>
      </c>
      <c r="S15" s="1">
        <v>0</v>
      </c>
      <c r="T15" s="1">
        <f t="shared" si="2"/>
        <v>1</v>
      </c>
      <c r="U15" s="25"/>
      <c r="V15" s="26">
        <v>13</v>
      </c>
      <c r="W15" s="9" t="s">
        <v>105</v>
      </c>
      <c r="X15" s="1">
        <v>1</v>
      </c>
      <c r="Y15" s="1">
        <v>1</v>
      </c>
      <c r="Z15" s="1">
        <v>0</v>
      </c>
      <c r="AA15" s="1">
        <f t="shared" si="3"/>
        <v>1</v>
      </c>
      <c r="AB15" s="24"/>
      <c r="AC15" s="26">
        <v>13</v>
      </c>
      <c r="AD15" s="35" t="s">
        <v>41</v>
      </c>
      <c r="AE15" s="31">
        <v>3</v>
      </c>
      <c r="AF15" s="24"/>
    </row>
    <row r="16" spans="1:32" x14ac:dyDescent="0.25">
      <c r="A16" s="26">
        <v>14</v>
      </c>
      <c r="B16" s="9" t="s">
        <v>91</v>
      </c>
      <c r="C16" s="1">
        <v>4</v>
      </c>
      <c r="D16" s="1">
        <v>1</v>
      </c>
      <c r="E16" s="1">
        <v>0</v>
      </c>
      <c r="F16" s="1">
        <f t="shared" si="0"/>
        <v>1</v>
      </c>
      <c r="G16" s="25"/>
      <c r="H16" s="26">
        <v>14</v>
      </c>
      <c r="I16" s="9" t="s">
        <v>97</v>
      </c>
      <c r="J16" s="1">
        <v>5</v>
      </c>
      <c r="K16" s="1">
        <v>0</v>
      </c>
      <c r="L16" s="1">
        <v>0</v>
      </c>
      <c r="M16" s="1">
        <f t="shared" si="1"/>
        <v>0</v>
      </c>
      <c r="N16" s="25"/>
      <c r="O16" s="26">
        <v>14</v>
      </c>
      <c r="P16" s="9" t="s">
        <v>109</v>
      </c>
      <c r="Q16" s="1">
        <v>6</v>
      </c>
      <c r="R16" s="1">
        <v>4</v>
      </c>
      <c r="S16" s="1">
        <v>0</v>
      </c>
      <c r="T16" s="1">
        <f t="shared" si="2"/>
        <v>4</v>
      </c>
      <c r="U16" s="25"/>
      <c r="V16" s="26">
        <v>14</v>
      </c>
      <c r="W16" s="9" t="s">
        <v>117</v>
      </c>
      <c r="X16" s="1">
        <v>2</v>
      </c>
      <c r="Y16" s="1">
        <v>0</v>
      </c>
      <c r="Z16" s="1">
        <v>2</v>
      </c>
      <c r="AA16" s="1">
        <f t="shared" si="3"/>
        <v>2</v>
      </c>
      <c r="AB16" s="24"/>
      <c r="AC16" s="26">
        <v>14</v>
      </c>
      <c r="AD16" s="35" t="s">
        <v>186</v>
      </c>
      <c r="AE16" s="31">
        <v>2</v>
      </c>
      <c r="AF16" s="24"/>
    </row>
    <row r="17" spans="1:32" x14ac:dyDescent="0.25">
      <c r="A17" s="26">
        <v>15</v>
      </c>
      <c r="B17" s="9" t="s">
        <v>92</v>
      </c>
      <c r="C17" s="1">
        <v>4</v>
      </c>
      <c r="D17" s="1">
        <v>0</v>
      </c>
      <c r="E17" s="1">
        <v>1</v>
      </c>
      <c r="F17" s="1">
        <f t="shared" si="0"/>
        <v>1</v>
      </c>
      <c r="G17" s="25"/>
      <c r="H17" s="26">
        <v>15</v>
      </c>
      <c r="I17" s="9" t="s">
        <v>88</v>
      </c>
      <c r="J17" s="1">
        <v>5</v>
      </c>
      <c r="K17" s="1">
        <v>0</v>
      </c>
      <c r="L17" s="1">
        <v>0</v>
      </c>
      <c r="M17" s="1">
        <f t="shared" si="1"/>
        <v>0</v>
      </c>
      <c r="N17" s="25"/>
      <c r="O17" s="26">
        <v>15</v>
      </c>
      <c r="P17" s="9" t="s">
        <v>97</v>
      </c>
      <c r="Q17" s="1">
        <v>5</v>
      </c>
      <c r="R17" s="1">
        <v>0</v>
      </c>
      <c r="S17" s="1">
        <v>0</v>
      </c>
      <c r="T17" s="1">
        <f t="shared" si="2"/>
        <v>0</v>
      </c>
      <c r="U17" s="25"/>
      <c r="V17" s="26">
        <v>15</v>
      </c>
      <c r="W17" s="9" t="s">
        <v>92</v>
      </c>
      <c r="X17" s="1">
        <v>4</v>
      </c>
      <c r="Y17" s="1">
        <v>0</v>
      </c>
      <c r="Z17" s="1">
        <v>1</v>
      </c>
      <c r="AA17" s="1">
        <f t="shared" si="3"/>
        <v>1</v>
      </c>
      <c r="AB17" s="24"/>
      <c r="AC17" s="26">
        <v>15</v>
      </c>
      <c r="AD17" s="35" t="s">
        <v>172</v>
      </c>
      <c r="AE17" s="31">
        <v>2</v>
      </c>
      <c r="AF17" s="24"/>
    </row>
    <row r="18" spans="1:32" x14ac:dyDescent="0.25">
      <c r="A18" s="26">
        <v>16</v>
      </c>
      <c r="B18" s="9" t="s">
        <v>111</v>
      </c>
      <c r="C18" s="1">
        <v>3</v>
      </c>
      <c r="D18" s="1">
        <v>2</v>
      </c>
      <c r="E18" s="1">
        <v>3</v>
      </c>
      <c r="F18" s="1">
        <f t="shared" si="0"/>
        <v>5</v>
      </c>
      <c r="G18" s="25"/>
      <c r="H18" s="26">
        <v>16</v>
      </c>
      <c r="I18" s="9" t="s">
        <v>94</v>
      </c>
      <c r="J18" s="1">
        <v>5</v>
      </c>
      <c r="K18" s="1">
        <v>0</v>
      </c>
      <c r="L18" s="1">
        <v>0</v>
      </c>
      <c r="M18" s="1">
        <f t="shared" si="1"/>
        <v>0</v>
      </c>
      <c r="N18" s="25"/>
      <c r="O18" s="26">
        <v>16</v>
      </c>
      <c r="P18" s="9" t="s">
        <v>88</v>
      </c>
      <c r="Q18" s="1">
        <v>5</v>
      </c>
      <c r="R18" s="1">
        <v>0</v>
      </c>
      <c r="S18" s="1">
        <v>0</v>
      </c>
      <c r="T18" s="1">
        <f t="shared" si="2"/>
        <v>0</v>
      </c>
      <c r="U18" s="25"/>
      <c r="V18" s="26">
        <v>16</v>
      </c>
      <c r="W18" s="9" t="s">
        <v>100</v>
      </c>
      <c r="X18" s="1">
        <v>1</v>
      </c>
      <c r="Y18" s="1">
        <v>0</v>
      </c>
      <c r="Z18" s="1">
        <v>1</v>
      </c>
      <c r="AA18" s="1">
        <f t="shared" si="3"/>
        <v>1</v>
      </c>
      <c r="AB18" s="24"/>
      <c r="AC18" s="26">
        <v>16</v>
      </c>
      <c r="AD18" s="35" t="s">
        <v>175</v>
      </c>
      <c r="AE18" s="31">
        <v>2</v>
      </c>
      <c r="AF18" s="24"/>
    </row>
    <row r="19" spans="1:32" x14ac:dyDescent="0.25">
      <c r="A19" s="26">
        <v>17</v>
      </c>
      <c r="B19" s="9" t="s">
        <v>143</v>
      </c>
      <c r="C19" s="1">
        <v>3</v>
      </c>
      <c r="D19" s="1">
        <v>0</v>
      </c>
      <c r="E19" s="1">
        <v>0</v>
      </c>
      <c r="F19" s="1">
        <f t="shared" si="0"/>
        <v>0</v>
      </c>
      <c r="G19" s="25"/>
      <c r="H19" s="26">
        <v>17</v>
      </c>
      <c r="I19" s="9" t="s">
        <v>90</v>
      </c>
      <c r="J19" s="1">
        <v>4</v>
      </c>
      <c r="K19" s="1">
        <v>0</v>
      </c>
      <c r="L19" s="1">
        <v>0</v>
      </c>
      <c r="M19" s="1">
        <f t="shared" si="1"/>
        <v>0</v>
      </c>
      <c r="N19" s="25"/>
      <c r="O19" s="26">
        <v>17</v>
      </c>
      <c r="P19" s="9" t="s">
        <v>94</v>
      </c>
      <c r="Q19" s="1">
        <v>5</v>
      </c>
      <c r="R19" s="1">
        <v>0</v>
      </c>
      <c r="S19" s="1">
        <v>0</v>
      </c>
      <c r="T19" s="1">
        <f t="shared" si="2"/>
        <v>0</v>
      </c>
      <c r="U19" s="25"/>
      <c r="V19" s="26">
        <v>17</v>
      </c>
      <c r="W19" s="9" t="s">
        <v>97</v>
      </c>
      <c r="X19" s="1">
        <v>5</v>
      </c>
      <c r="Y19" s="1">
        <v>0</v>
      </c>
      <c r="Z19" s="1">
        <v>0</v>
      </c>
      <c r="AA19" s="1">
        <f t="shared" si="3"/>
        <v>0</v>
      </c>
      <c r="AB19" s="24"/>
      <c r="AC19" s="26">
        <v>17</v>
      </c>
      <c r="AD19" s="35" t="s">
        <v>179</v>
      </c>
      <c r="AE19" s="31">
        <v>2</v>
      </c>
      <c r="AF19" s="24"/>
    </row>
    <row r="20" spans="1:32" x14ac:dyDescent="0.25">
      <c r="A20" s="26">
        <v>18</v>
      </c>
      <c r="B20" s="9" t="s">
        <v>89</v>
      </c>
      <c r="C20" s="1">
        <v>2</v>
      </c>
      <c r="D20" s="1">
        <v>0</v>
      </c>
      <c r="E20" s="1">
        <v>0</v>
      </c>
      <c r="F20" s="1">
        <f t="shared" si="0"/>
        <v>0</v>
      </c>
      <c r="G20" s="25"/>
      <c r="H20" s="26">
        <v>18</v>
      </c>
      <c r="I20" s="9" t="s">
        <v>92</v>
      </c>
      <c r="J20" s="1">
        <v>4</v>
      </c>
      <c r="K20" s="1">
        <v>0</v>
      </c>
      <c r="L20" s="1">
        <v>1</v>
      </c>
      <c r="M20" s="1">
        <f t="shared" si="1"/>
        <v>1</v>
      </c>
      <c r="N20" s="25"/>
      <c r="O20" s="26">
        <v>18</v>
      </c>
      <c r="P20" s="9" t="s">
        <v>90</v>
      </c>
      <c r="Q20" s="1">
        <v>4</v>
      </c>
      <c r="R20" s="1">
        <v>0</v>
      </c>
      <c r="S20" s="1">
        <v>0</v>
      </c>
      <c r="T20" s="1">
        <f t="shared" si="2"/>
        <v>0</v>
      </c>
      <c r="U20" s="25"/>
      <c r="V20" s="26">
        <v>18</v>
      </c>
      <c r="W20" s="9" t="s">
        <v>88</v>
      </c>
      <c r="X20" s="1">
        <v>5</v>
      </c>
      <c r="Y20" s="1">
        <v>0</v>
      </c>
      <c r="Z20" s="1">
        <v>0</v>
      </c>
      <c r="AA20" s="1">
        <f t="shared" si="3"/>
        <v>0</v>
      </c>
      <c r="AB20" s="24"/>
      <c r="AC20" s="26">
        <v>18</v>
      </c>
      <c r="AD20" s="35" t="s">
        <v>178</v>
      </c>
      <c r="AE20" s="31">
        <v>2</v>
      </c>
      <c r="AF20" s="24"/>
    </row>
    <row r="21" spans="1:32" x14ac:dyDescent="0.25">
      <c r="A21" s="26">
        <v>19</v>
      </c>
      <c r="B21" s="9" t="s">
        <v>117</v>
      </c>
      <c r="C21" s="1">
        <v>2</v>
      </c>
      <c r="D21" s="1">
        <v>0</v>
      </c>
      <c r="E21" s="1">
        <v>2</v>
      </c>
      <c r="F21" s="1">
        <f t="shared" si="0"/>
        <v>2</v>
      </c>
      <c r="G21" s="25"/>
      <c r="H21" s="26">
        <v>19</v>
      </c>
      <c r="I21" s="9" t="s">
        <v>143</v>
      </c>
      <c r="J21" s="1">
        <v>3</v>
      </c>
      <c r="K21" s="1">
        <v>0</v>
      </c>
      <c r="L21" s="1">
        <v>0</v>
      </c>
      <c r="M21" s="1">
        <f t="shared" si="1"/>
        <v>0</v>
      </c>
      <c r="N21" s="25"/>
      <c r="O21" s="26">
        <v>19</v>
      </c>
      <c r="P21" s="9" t="s">
        <v>91</v>
      </c>
      <c r="Q21" s="1">
        <v>4</v>
      </c>
      <c r="R21" s="1">
        <v>1</v>
      </c>
      <c r="S21" s="1">
        <v>0</v>
      </c>
      <c r="T21" s="1">
        <f t="shared" si="2"/>
        <v>1</v>
      </c>
      <c r="U21" s="25"/>
      <c r="V21" s="26">
        <v>19</v>
      </c>
      <c r="W21" s="9" t="s">
        <v>94</v>
      </c>
      <c r="X21" s="1">
        <v>5</v>
      </c>
      <c r="Y21" s="1">
        <v>0</v>
      </c>
      <c r="Z21" s="1">
        <v>0</v>
      </c>
      <c r="AA21" s="1">
        <f t="shared" si="3"/>
        <v>0</v>
      </c>
      <c r="AB21" s="24"/>
      <c r="AC21" s="26">
        <v>19</v>
      </c>
      <c r="AD21" s="35" t="s">
        <v>164</v>
      </c>
      <c r="AE21" s="31">
        <v>1</v>
      </c>
      <c r="AF21" s="24"/>
    </row>
    <row r="22" spans="1:32" x14ac:dyDescent="0.25">
      <c r="A22" s="26">
        <v>20</v>
      </c>
      <c r="B22" s="9" t="s">
        <v>129</v>
      </c>
      <c r="C22" s="1">
        <v>2</v>
      </c>
      <c r="D22" s="1">
        <v>0</v>
      </c>
      <c r="E22" s="1">
        <v>0</v>
      </c>
      <c r="F22" s="1">
        <f t="shared" si="0"/>
        <v>0</v>
      </c>
      <c r="G22" s="25"/>
      <c r="H22" s="26">
        <v>20</v>
      </c>
      <c r="I22" s="9" t="s">
        <v>89</v>
      </c>
      <c r="J22" s="1">
        <v>2</v>
      </c>
      <c r="K22" s="1">
        <v>0</v>
      </c>
      <c r="L22" s="1">
        <v>0</v>
      </c>
      <c r="M22" s="1">
        <f t="shared" si="1"/>
        <v>0</v>
      </c>
      <c r="N22" s="25"/>
      <c r="O22" s="26">
        <v>20</v>
      </c>
      <c r="P22" s="9" t="s">
        <v>143</v>
      </c>
      <c r="Q22" s="1">
        <v>3</v>
      </c>
      <c r="R22" s="1">
        <v>0</v>
      </c>
      <c r="S22" s="1">
        <v>0</v>
      </c>
      <c r="T22" s="1">
        <f t="shared" si="2"/>
        <v>0</v>
      </c>
      <c r="U22" s="25"/>
      <c r="V22" s="26">
        <v>20</v>
      </c>
      <c r="W22" s="9" t="s">
        <v>90</v>
      </c>
      <c r="X22" s="1">
        <v>4</v>
      </c>
      <c r="Y22" s="1">
        <v>0</v>
      </c>
      <c r="Z22" s="1">
        <v>0</v>
      </c>
      <c r="AA22" s="1">
        <f t="shared" si="3"/>
        <v>0</v>
      </c>
      <c r="AB22" s="24"/>
      <c r="AC22" s="26">
        <v>20</v>
      </c>
      <c r="AD22" s="35" t="s">
        <v>165</v>
      </c>
      <c r="AE22" s="31">
        <v>1</v>
      </c>
      <c r="AF22" s="24"/>
    </row>
    <row r="23" spans="1:32" x14ac:dyDescent="0.25">
      <c r="A23" s="26">
        <v>21</v>
      </c>
      <c r="B23" s="9" t="s">
        <v>107</v>
      </c>
      <c r="C23" s="1">
        <v>2</v>
      </c>
      <c r="D23" s="1">
        <v>2</v>
      </c>
      <c r="E23" s="1">
        <v>1</v>
      </c>
      <c r="F23" s="1">
        <f t="shared" si="0"/>
        <v>3</v>
      </c>
      <c r="G23" s="25"/>
      <c r="H23" s="26">
        <v>21</v>
      </c>
      <c r="I23" s="9" t="s">
        <v>117</v>
      </c>
      <c r="J23" s="1">
        <v>2</v>
      </c>
      <c r="K23" s="1">
        <v>0</v>
      </c>
      <c r="L23" s="1">
        <v>2</v>
      </c>
      <c r="M23" s="1">
        <f t="shared" si="1"/>
        <v>2</v>
      </c>
      <c r="N23" s="25"/>
      <c r="O23" s="26">
        <v>21</v>
      </c>
      <c r="P23" s="9" t="s">
        <v>89</v>
      </c>
      <c r="Q23" s="1">
        <v>2</v>
      </c>
      <c r="R23" s="1">
        <v>0</v>
      </c>
      <c r="S23" s="1">
        <v>0</v>
      </c>
      <c r="T23" s="1">
        <f t="shared" si="2"/>
        <v>0</v>
      </c>
      <c r="U23" s="25"/>
      <c r="V23" s="26">
        <v>21</v>
      </c>
      <c r="W23" s="9" t="s">
        <v>143</v>
      </c>
      <c r="X23" s="1">
        <v>3</v>
      </c>
      <c r="Y23" s="1">
        <v>0</v>
      </c>
      <c r="Z23" s="1">
        <v>0</v>
      </c>
      <c r="AA23" s="1">
        <f t="shared" si="3"/>
        <v>0</v>
      </c>
      <c r="AB23" s="24"/>
      <c r="AC23" s="26">
        <v>21</v>
      </c>
      <c r="AD23" s="35" t="s">
        <v>170</v>
      </c>
      <c r="AE23" s="31">
        <v>1</v>
      </c>
      <c r="AF23" s="24"/>
    </row>
    <row r="24" spans="1:32" x14ac:dyDescent="0.25">
      <c r="A24" s="26">
        <v>22</v>
      </c>
      <c r="B24" s="9" t="s">
        <v>139</v>
      </c>
      <c r="C24" s="1">
        <v>2</v>
      </c>
      <c r="D24" s="1">
        <v>0</v>
      </c>
      <c r="E24" s="1">
        <v>0</v>
      </c>
      <c r="F24" s="1">
        <f t="shared" si="0"/>
        <v>0</v>
      </c>
      <c r="G24" s="25"/>
      <c r="H24" s="26">
        <v>22</v>
      </c>
      <c r="I24" s="9" t="s">
        <v>129</v>
      </c>
      <c r="J24" s="1">
        <v>2</v>
      </c>
      <c r="K24" s="1">
        <v>0</v>
      </c>
      <c r="L24" s="1">
        <v>0</v>
      </c>
      <c r="M24" s="1">
        <f t="shared" si="1"/>
        <v>0</v>
      </c>
      <c r="N24" s="25"/>
      <c r="O24" s="26">
        <v>22</v>
      </c>
      <c r="P24" s="9" t="s">
        <v>129</v>
      </c>
      <c r="Q24" s="1">
        <v>2</v>
      </c>
      <c r="R24" s="1">
        <v>0</v>
      </c>
      <c r="S24" s="1">
        <v>0</v>
      </c>
      <c r="T24" s="1">
        <f t="shared" si="2"/>
        <v>0</v>
      </c>
      <c r="U24" s="25"/>
      <c r="V24" s="26">
        <v>22</v>
      </c>
      <c r="W24" s="9" t="s">
        <v>89</v>
      </c>
      <c r="X24" s="1">
        <v>2</v>
      </c>
      <c r="Y24" s="1">
        <v>0</v>
      </c>
      <c r="Z24" s="1">
        <v>0</v>
      </c>
      <c r="AA24" s="1">
        <f t="shared" si="3"/>
        <v>0</v>
      </c>
      <c r="AB24" s="24"/>
      <c r="AC24" s="26">
        <v>22</v>
      </c>
      <c r="AD24" s="35" t="s">
        <v>174</v>
      </c>
      <c r="AE24" s="31">
        <v>1</v>
      </c>
      <c r="AF24" s="24"/>
    </row>
    <row r="25" spans="1:32" x14ac:dyDescent="0.25">
      <c r="A25" s="26">
        <v>23</v>
      </c>
      <c r="B25" s="9" t="s">
        <v>95</v>
      </c>
      <c r="C25" s="1">
        <v>2</v>
      </c>
      <c r="D25" s="1">
        <v>0</v>
      </c>
      <c r="E25" s="1">
        <v>0</v>
      </c>
      <c r="F25" s="1">
        <f t="shared" si="0"/>
        <v>0</v>
      </c>
      <c r="G25" s="25"/>
      <c r="H25" s="26">
        <v>23</v>
      </c>
      <c r="I25" s="9" t="s">
        <v>139</v>
      </c>
      <c r="J25" s="1">
        <v>2</v>
      </c>
      <c r="K25" s="1">
        <v>0</v>
      </c>
      <c r="L25" s="1">
        <v>0</v>
      </c>
      <c r="M25" s="1">
        <f t="shared" si="1"/>
        <v>0</v>
      </c>
      <c r="N25" s="25"/>
      <c r="O25" s="26">
        <v>23</v>
      </c>
      <c r="P25" s="9" t="s">
        <v>139</v>
      </c>
      <c r="Q25" s="1">
        <v>2</v>
      </c>
      <c r="R25" s="1">
        <v>0</v>
      </c>
      <c r="S25" s="1">
        <v>0</v>
      </c>
      <c r="T25" s="1">
        <f t="shared" si="2"/>
        <v>0</v>
      </c>
      <c r="U25" s="25"/>
      <c r="V25" s="26">
        <v>23</v>
      </c>
      <c r="W25" s="9" t="s">
        <v>129</v>
      </c>
      <c r="X25" s="1">
        <v>2</v>
      </c>
      <c r="Y25" s="1">
        <v>0</v>
      </c>
      <c r="Z25" s="1">
        <v>0</v>
      </c>
      <c r="AA25" s="1">
        <f t="shared" si="3"/>
        <v>0</v>
      </c>
      <c r="AB25" s="24"/>
      <c r="AC25" s="26">
        <v>23</v>
      </c>
      <c r="AD25" s="35" t="s">
        <v>191</v>
      </c>
      <c r="AE25" s="31">
        <v>1</v>
      </c>
      <c r="AF25" s="24"/>
    </row>
    <row r="26" spans="1:32" x14ac:dyDescent="0.25">
      <c r="A26" s="26">
        <v>24</v>
      </c>
      <c r="B26" s="9" t="s">
        <v>100</v>
      </c>
      <c r="C26" s="1">
        <v>1</v>
      </c>
      <c r="D26" s="1">
        <v>0</v>
      </c>
      <c r="E26" s="1">
        <v>1</v>
      </c>
      <c r="F26" s="1">
        <f t="shared" si="0"/>
        <v>1</v>
      </c>
      <c r="G26" s="25"/>
      <c r="H26" s="26">
        <v>24</v>
      </c>
      <c r="I26" s="9" t="s">
        <v>95</v>
      </c>
      <c r="J26" s="1">
        <v>2</v>
      </c>
      <c r="K26" s="1">
        <v>0</v>
      </c>
      <c r="L26" s="1">
        <v>0</v>
      </c>
      <c r="M26" s="1">
        <f t="shared" si="1"/>
        <v>0</v>
      </c>
      <c r="N26" s="25"/>
      <c r="O26" s="26">
        <v>24</v>
      </c>
      <c r="P26" s="9" t="s">
        <v>95</v>
      </c>
      <c r="Q26" s="1">
        <v>2</v>
      </c>
      <c r="R26" s="1">
        <v>0</v>
      </c>
      <c r="S26" s="1">
        <v>0</v>
      </c>
      <c r="T26" s="1">
        <f t="shared" si="2"/>
        <v>0</v>
      </c>
      <c r="U26" s="25"/>
      <c r="V26" s="26">
        <v>24</v>
      </c>
      <c r="W26" s="9" t="s">
        <v>139</v>
      </c>
      <c r="X26" s="1">
        <v>2</v>
      </c>
      <c r="Y26" s="1">
        <v>0</v>
      </c>
      <c r="Z26" s="1">
        <v>0</v>
      </c>
      <c r="AA26" s="1">
        <f t="shared" si="3"/>
        <v>0</v>
      </c>
      <c r="AB26" s="24"/>
      <c r="AC26" s="26">
        <v>24</v>
      </c>
      <c r="AD26" s="35" t="s">
        <v>192</v>
      </c>
      <c r="AE26" s="31">
        <v>1</v>
      </c>
      <c r="AF26" s="24"/>
    </row>
    <row r="27" spans="1:32" x14ac:dyDescent="0.25">
      <c r="A27" s="26">
        <v>25</v>
      </c>
      <c r="B27" s="9" t="s">
        <v>105</v>
      </c>
      <c r="C27" s="1">
        <v>1</v>
      </c>
      <c r="D27" s="1">
        <v>1</v>
      </c>
      <c r="E27" s="1">
        <v>0</v>
      </c>
      <c r="F27" s="1">
        <f t="shared" si="0"/>
        <v>1</v>
      </c>
      <c r="G27" s="25"/>
      <c r="H27" s="26">
        <v>25</v>
      </c>
      <c r="I27" s="9" t="s">
        <v>100</v>
      </c>
      <c r="J27" s="1">
        <v>1</v>
      </c>
      <c r="K27" s="1">
        <v>0</v>
      </c>
      <c r="L27" s="1">
        <v>1</v>
      </c>
      <c r="M27" s="1">
        <f t="shared" si="1"/>
        <v>1</v>
      </c>
      <c r="N27" s="25"/>
      <c r="O27" s="26">
        <v>25</v>
      </c>
      <c r="P27" s="9" t="s">
        <v>105</v>
      </c>
      <c r="Q27" s="1">
        <v>1</v>
      </c>
      <c r="R27" s="1">
        <v>1</v>
      </c>
      <c r="S27" s="1">
        <v>0</v>
      </c>
      <c r="T27" s="1">
        <f t="shared" si="2"/>
        <v>1</v>
      </c>
      <c r="U27" s="25"/>
      <c r="V27" s="26">
        <v>25</v>
      </c>
      <c r="W27" s="9" t="s">
        <v>95</v>
      </c>
      <c r="X27" s="1">
        <v>2</v>
      </c>
      <c r="Y27" s="1">
        <v>0</v>
      </c>
      <c r="Z27" s="1">
        <v>0</v>
      </c>
      <c r="AA27" s="1">
        <f t="shared" si="3"/>
        <v>0</v>
      </c>
      <c r="AB27" s="24"/>
      <c r="AC27" s="26">
        <v>25</v>
      </c>
      <c r="AD27" s="35" t="s">
        <v>185</v>
      </c>
      <c r="AE27" s="31">
        <v>1</v>
      </c>
      <c r="AF27" s="24"/>
    </row>
    <row r="28" spans="1:32" x14ac:dyDescent="0.25">
      <c r="A28" s="26">
        <v>26</v>
      </c>
      <c r="B28" s="9" t="s">
        <v>106</v>
      </c>
      <c r="C28" s="1">
        <v>1</v>
      </c>
      <c r="D28" s="1">
        <v>0</v>
      </c>
      <c r="E28" s="1">
        <v>0</v>
      </c>
      <c r="F28" s="1">
        <f t="shared" si="0"/>
        <v>0</v>
      </c>
      <c r="G28" s="25"/>
      <c r="H28" s="26">
        <v>26</v>
      </c>
      <c r="I28" s="9" t="s">
        <v>106</v>
      </c>
      <c r="J28" s="1">
        <v>1</v>
      </c>
      <c r="K28" s="1">
        <v>0</v>
      </c>
      <c r="L28" s="1">
        <v>0</v>
      </c>
      <c r="M28" s="1">
        <f t="shared" si="1"/>
        <v>0</v>
      </c>
      <c r="N28" s="25"/>
      <c r="O28" s="26">
        <v>26</v>
      </c>
      <c r="P28" s="9" t="s">
        <v>106</v>
      </c>
      <c r="Q28" s="1">
        <v>1</v>
      </c>
      <c r="R28" s="1">
        <v>0</v>
      </c>
      <c r="S28" s="1">
        <v>0</v>
      </c>
      <c r="T28" s="1">
        <f t="shared" si="2"/>
        <v>0</v>
      </c>
      <c r="U28" s="25"/>
      <c r="V28" s="26">
        <v>26</v>
      </c>
      <c r="W28" s="9" t="s">
        <v>106</v>
      </c>
      <c r="X28" s="1">
        <v>1</v>
      </c>
      <c r="Y28" s="1">
        <v>0</v>
      </c>
      <c r="Z28" s="1">
        <v>0</v>
      </c>
      <c r="AA28" s="1">
        <f t="shared" si="3"/>
        <v>0</v>
      </c>
      <c r="AB28" s="24"/>
      <c r="AC28" s="26">
        <v>26</v>
      </c>
      <c r="AD28" s="35" t="s">
        <v>44</v>
      </c>
      <c r="AE28" s="31">
        <v>1</v>
      </c>
      <c r="AF28" s="24"/>
    </row>
    <row r="29" spans="1:32" x14ac:dyDescent="0.25">
      <c r="A29" s="26">
        <v>27</v>
      </c>
      <c r="B29" s="9" t="s">
        <v>140</v>
      </c>
      <c r="C29" s="1">
        <v>1</v>
      </c>
      <c r="D29" s="1">
        <v>0</v>
      </c>
      <c r="E29" s="1">
        <v>0</v>
      </c>
      <c r="F29" s="1">
        <f t="shared" si="0"/>
        <v>0</v>
      </c>
      <c r="G29" s="25"/>
      <c r="H29" s="26">
        <v>27</v>
      </c>
      <c r="I29" s="9" t="s">
        <v>140</v>
      </c>
      <c r="J29" s="1">
        <v>1</v>
      </c>
      <c r="K29" s="1">
        <v>0</v>
      </c>
      <c r="L29" s="1">
        <v>0</v>
      </c>
      <c r="M29" s="1">
        <f t="shared" si="1"/>
        <v>0</v>
      </c>
      <c r="N29" s="25"/>
      <c r="O29" s="26">
        <v>27</v>
      </c>
      <c r="P29" s="9" t="s">
        <v>140</v>
      </c>
      <c r="Q29" s="1">
        <v>1</v>
      </c>
      <c r="R29" s="1">
        <v>0</v>
      </c>
      <c r="S29" s="1">
        <v>0</v>
      </c>
      <c r="T29" s="1">
        <f t="shared" si="2"/>
        <v>0</v>
      </c>
      <c r="U29" s="25"/>
      <c r="V29" s="26">
        <v>27</v>
      </c>
      <c r="W29" s="9" t="s">
        <v>140</v>
      </c>
      <c r="X29" s="1">
        <v>1</v>
      </c>
      <c r="Y29" s="1">
        <v>0</v>
      </c>
      <c r="Z29" s="1">
        <v>0</v>
      </c>
      <c r="AA29" s="1">
        <f t="shared" si="3"/>
        <v>0</v>
      </c>
      <c r="AB29" s="24"/>
      <c r="AC29" s="26">
        <v>27</v>
      </c>
      <c r="AD29" s="35" t="s">
        <v>189</v>
      </c>
      <c r="AE29" s="31">
        <v>1</v>
      </c>
      <c r="AF29" s="24"/>
    </row>
    <row r="30" spans="1:32" x14ac:dyDescent="0.25">
      <c r="A30" s="26">
        <v>28</v>
      </c>
      <c r="B30" s="9" t="s">
        <v>141</v>
      </c>
      <c r="C30" s="1">
        <v>1</v>
      </c>
      <c r="D30" s="1">
        <v>0</v>
      </c>
      <c r="E30" s="1">
        <v>0</v>
      </c>
      <c r="F30" s="1">
        <f t="shared" si="0"/>
        <v>0</v>
      </c>
      <c r="G30" s="25"/>
      <c r="H30" s="26">
        <v>28</v>
      </c>
      <c r="I30" s="9" t="s">
        <v>141</v>
      </c>
      <c r="J30" s="1">
        <v>1</v>
      </c>
      <c r="K30" s="1">
        <v>0</v>
      </c>
      <c r="L30" s="1">
        <v>0</v>
      </c>
      <c r="M30" s="1">
        <f t="shared" si="1"/>
        <v>0</v>
      </c>
      <c r="N30" s="25"/>
      <c r="O30" s="26">
        <v>28</v>
      </c>
      <c r="P30" s="9" t="s">
        <v>141</v>
      </c>
      <c r="Q30" s="1">
        <v>1</v>
      </c>
      <c r="R30" s="1">
        <v>0</v>
      </c>
      <c r="S30" s="1">
        <v>0</v>
      </c>
      <c r="T30" s="1">
        <f t="shared" si="2"/>
        <v>0</v>
      </c>
      <c r="U30" s="25"/>
      <c r="V30" s="26">
        <v>28</v>
      </c>
      <c r="W30" s="9" t="s">
        <v>141</v>
      </c>
      <c r="X30" s="1">
        <v>1</v>
      </c>
      <c r="Y30" s="1">
        <v>0</v>
      </c>
      <c r="Z30" s="1">
        <v>0</v>
      </c>
      <c r="AA30" s="1">
        <f t="shared" si="3"/>
        <v>0</v>
      </c>
      <c r="AB30" s="24"/>
      <c r="AC30" s="26">
        <v>28</v>
      </c>
      <c r="AD30" s="35" t="s">
        <v>42</v>
      </c>
      <c r="AE30" s="31">
        <v>0</v>
      </c>
      <c r="AF30" s="24"/>
    </row>
    <row r="31" spans="1:32" x14ac:dyDescent="0.25">
      <c r="A31" s="26">
        <v>29</v>
      </c>
      <c r="B31" s="9" t="s">
        <v>142</v>
      </c>
      <c r="C31" s="1">
        <v>1</v>
      </c>
      <c r="D31" s="1">
        <v>0</v>
      </c>
      <c r="E31" s="1">
        <v>0</v>
      </c>
      <c r="F31" s="1">
        <f t="shared" si="0"/>
        <v>0</v>
      </c>
      <c r="G31" s="25"/>
      <c r="H31" s="26">
        <v>29</v>
      </c>
      <c r="I31" s="9" t="s">
        <v>142</v>
      </c>
      <c r="J31" s="1">
        <v>1</v>
      </c>
      <c r="K31" s="1">
        <v>0</v>
      </c>
      <c r="L31" s="1">
        <v>0</v>
      </c>
      <c r="M31" s="1">
        <f t="shared" si="1"/>
        <v>0</v>
      </c>
      <c r="N31" s="25"/>
      <c r="O31" s="26">
        <v>29</v>
      </c>
      <c r="P31" s="9" t="s">
        <v>142</v>
      </c>
      <c r="Q31" s="1">
        <v>1</v>
      </c>
      <c r="R31" s="1">
        <v>0</v>
      </c>
      <c r="S31" s="1">
        <v>0</v>
      </c>
      <c r="T31" s="1">
        <f t="shared" si="2"/>
        <v>0</v>
      </c>
      <c r="U31" s="25"/>
      <c r="V31" s="26">
        <v>29</v>
      </c>
      <c r="W31" s="9" t="s">
        <v>142</v>
      </c>
      <c r="X31" s="1">
        <v>1</v>
      </c>
      <c r="Y31" s="1">
        <v>0</v>
      </c>
      <c r="Z31" s="1">
        <v>0</v>
      </c>
      <c r="AA31" s="1">
        <f t="shared" si="3"/>
        <v>0</v>
      </c>
      <c r="AB31" s="24"/>
      <c r="AC31" s="26">
        <v>29</v>
      </c>
      <c r="AD31" s="36" t="s">
        <v>168</v>
      </c>
      <c r="AE31" s="32">
        <v>0</v>
      </c>
      <c r="AF31" s="24"/>
    </row>
    <row r="32" spans="1:32" x14ac:dyDescent="0.25">
      <c r="A32" s="26">
        <v>30</v>
      </c>
      <c r="B32" s="9" t="s">
        <v>201</v>
      </c>
      <c r="C32" s="1">
        <v>1</v>
      </c>
      <c r="D32" s="1">
        <v>0</v>
      </c>
      <c r="E32" s="1">
        <v>0</v>
      </c>
      <c r="F32" s="1">
        <f t="shared" si="0"/>
        <v>0</v>
      </c>
      <c r="G32" s="24"/>
      <c r="H32" s="26">
        <v>30</v>
      </c>
      <c r="I32" s="9" t="s">
        <v>201</v>
      </c>
      <c r="J32" s="1">
        <v>1</v>
      </c>
      <c r="K32" s="1">
        <v>0</v>
      </c>
      <c r="L32" s="1">
        <v>0</v>
      </c>
      <c r="M32" s="1">
        <f t="shared" si="1"/>
        <v>0</v>
      </c>
      <c r="N32" s="24"/>
      <c r="O32" s="26">
        <v>30</v>
      </c>
      <c r="P32" s="9" t="s">
        <v>201</v>
      </c>
      <c r="Q32" s="1">
        <v>1</v>
      </c>
      <c r="R32" s="1">
        <v>0</v>
      </c>
      <c r="S32" s="1">
        <v>0</v>
      </c>
      <c r="T32" s="1">
        <f t="shared" si="2"/>
        <v>0</v>
      </c>
      <c r="U32" s="24"/>
      <c r="V32" s="26">
        <v>30</v>
      </c>
      <c r="W32" s="9" t="s">
        <v>201</v>
      </c>
      <c r="X32" s="1">
        <v>1</v>
      </c>
      <c r="Y32" s="1">
        <v>0</v>
      </c>
      <c r="Z32" s="1">
        <v>0</v>
      </c>
      <c r="AA32" s="1">
        <f t="shared" si="3"/>
        <v>0</v>
      </c>
      <c r="AB32" s="24"/>
      <c r="AC32" s="26">
        <v>30</v>
      </c>
      <c r="AD32" s="35" t="s">
        <v>190</v>
      </c>
      <c r="AE32" s="31">
        <v>0</v>
      </c>
      <c r="AF32" s="24"/>
    </row>
    <row r="33" spans="1:32" x14ac:dyDescent="0.2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1">
        <v>31</v>
      </c>
      <c r="AD33" s="44" t="s">
        <v>202</v>
      </c>
      <c r="AE33" s="45">
        <v>0</v>
      </c>
      <c r="AF33" s="40"/>
    </row>
    <row r="34" spans="1:32" x14ac:dyDescent="0.2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</row>
    <row r="35" spans="1:32" x14ac:dyDescent="0.2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</row>
    <row r="36" spans="1:32" x14ac:dyDescent="0.25">
      <c r="A36" s="43" t="s">
        <v>96</v>
      </c>
      <c r="B36" s="43">
        <v>1</v>
      </c>
      <c r="C36" s="43">
        <v>0</v>
      </c>
      <c r="D36" s="43">
        <v>0</v>
      </c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2"/>
      <c r="AB36" s="40"/>
      <c r="AC36" s="40"/>
      <c r="AD36" s="40"/>
      <c r="AE36" s="40"/>
      <c r="AF36" s="40"/>
    </row>
    <row r="37" spans="1:32" x14ac:dyDescent="0.25">
      <c r="A37" s="43" t="s">
        <v>98</v>
      </c>
      <c r="B37" s="43">
        <v>1</v>
      </c>
      <c r="C37" s="43">
        <v>1</v>
      </c>
      <c r="D37" s="43">
        <v>0</v>
      </c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 t="s">
        <v>96</v>
      </c>
      <c r="X37" s="43">
        <v>1</v>
      </c>
      <c r="Y37" s="43">
        <v>0</v>
      </c>
      <c r="Z37" s="43">
        <v>0</v>
      </c>
      <c r="AA37" s="42"/>
      <c r="AB37" s="40"/>
      <c r="AC37" s="40"/>
      <c r="AD37" s="40"/>
      <c r="AE37" s="40"/>
      <c r="AF37" s="40"/>
    </row>
    <row r="38" spans="1:32" x14ac:dyDescent="0.25">
      <c r="A38" s="43" t="s">
        <v>107</v>
      </c>
      <c r="B38" s="43">
        <v>1</v>
      </c>
      <c r="C38" s="43">
        <v>1</v>
      </c>
      <c r="D38" s="43">
        <v>1</v>
      </c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 t="s">
        <v>98</v>
      </c>
      <c r="X38" s="43">
        <v>1</v>
      </c>
      <c r="Y38" s="43">
        <v>1</v>
      </c>
      <c r="Z38" s="43">
        <v>0</v>
      </c>
      <c r="AA38" s="42"/>
      <c r="AB38" s="40"/>
      <c r="AC38" s="40"/>
      <c r="AD38" s="40"/>
      <c r="AE38" s="40"/>
      <c r="AF38" s="40"/>
    </row>
    <row r="39" spans="1:32" x14ac:dyDescent="0.25">
      <c r="A39" s="43" t="s">
        <v>103</v>
      </c>
      <c r="B39" s="43">
        <v>1</v>
      </c>
      <c r="C39" s="43">
        <v>0</v>
      </c>
      <c r="D39" s="43">
        <v>0</v>
      </c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 t="s">
        <v>107</v>
      </c>
      <c r="X39" s="43">
        <v>1</v>
      </c>
      <c r="Y39" s="43">
        <v>1</v>
      </c>
      <c r="Z39" s="43">
        <v>1</v>
      </c>
      <c r="AA39" s="42"/>
      <c r="AB39" s="40"/>
      <c r="AC39" s="40"/>
      <c r="AD39" s="40"/>
      <c r="AE39" s="40"/>
      <c r="AF39" s="40"/>
    </row>
    <row r="40" spans="1:32" x14ac:dyDescent="0.25">
      <c r="A40" s="43" t="s">
        <v>101</v>
      </c>
      <c r="B40" s="43">
        <v>1</v>
      </c>
      <c r="C40" s="43">
        <v>1</v>
      </c>
      <c r="D40" s="43">
        <v>0</v>
      </c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 t="s">
        <v>103</v>
      </c>
      <c r="X40" s="43">
        <v>1</v>
      </c>
      <c r="Y40" s="43">
        <v>0</v>
      </c>
      <c r="Z40" s="43">
        <v>0</v>
      </c>
      <c r="AA40" s="42"/>
      <c r="AB40" s="40"/>
      <c r="AC40" s="40"/>
      <c r="AD40" s="40"/>
      <c r="AE40" s="40"/>
      <c r="AF40" s="40"/>
    </row>
    <row r="41" spans="1:32" x14ac:dyDescent="0.25">
      <c r="A41" s="43" t="s">
        <v>95</v>
      </c>
      <c r="B41" s="43">
        <v>1</v>
      </c>
      <c r="C41" s="43">
        <v>0</v>
      </c>
      <c r="D41" s="43">
        <v>0</v>
      </c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 t="s">
        <v>101</v>
      </c>
      <c r="X41" s="43">
        <v>1</v>
      </c>
      <c r="Y41" s="43">
        <v>1</v>
      </c>
      <c r="Z41" s="43">
        <v>0</v>
      </c>
      <c r="AA41" s="42"/>
      <c r="AB41" s="40"/>
      <c r="AC41" s="40"/>
      <c r="AD41" s="40"/>
      <c r="AE41" s="40"/>
      <c r="AF41" s="40"/>
    </row>
    <row r="42" spans="1:32" x14ac:dyDescent="0.25">
      <c r="A42" s="43" t="s">
        <v>118</v>
      </c>
      <c r="B42" s="43">
        <v>1</v>
      </c>
      <c r="C42" s="43">
        <v>0</v>
      </c>
      <c r="D42" s="43">
        <v>0</v>
      </c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 t="s">
        <v>95</v>
      </c>
      <c r="X42" s="43">
        <v>1</v>
      </c>
      <c r="Y42" s="43">
        <v>0</v>
      </c>
      <c r="Z42" s="43">
        <v>0</v>
      </c>
      <c r="AA42" s="42"/>
      <c r="AB42" s="40"/>
      <c r="AC42" s="40"/>
      <c r="AD42" s="40"/>
      <c r="AE42" s="40"/>
      <c r="AF42" s="40"/>
    </row>
    <row r="43" spans="1:32" x14ac:dyDescent="0.25">
      <c r="A43" s="43" t="s">
        <v>104</v>
      </c>
      <c r="B43" s="43">
        <v>1</v>
      </c>
      <c r="C43" s="43">
        <v>0</v>
      </c>
      <c r="D43" s="43">
        <v>0</v>
      </c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 t="s">
        <v>118</v>
      </c>
      <c r="X43" s="43">
        <v>1</v>
      </c>
      <c r="Y43" s="43">
        <v>0</v>
      </c>
      <c r="Z43" s="43">
        <v>0</v>
      </c>
      <c r="AA43" s="42"/>
      <c r="AB43" s="40"/>
      <c r="AC43" s="40"/>
      <c r="AD43" s="40"/>
      <c r="AE43" s="40"/>
      <c r="AF43" s="40"/>
    </row>
    <row r="44" spans="1:32" x14ac:dyDescent="0.25">
      <c r="A44" s="43" t="s">
        <v>99</v>
      </c>
      <c r="B44" s="43">
        <v>1</v>
      </c>
      <c r="C44" s="43">
        <v>0</v>
      </c>
      <c r="D44" s="43">
        <v>0</v>
      </c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 t="s">
        <v>104</v>
      </c>
      <c r="X44" s="43">
        <v>1</v>
      </c>
      <c r="Y44" s="43">
        <v>0</v>
      </c>
      <c r="Z44" s="43">
        <v>0</v>
      </c>
      <c r="AA44" s="42"/>
      <c r="AB44" s="40"/>
      <c r="AC44" s="40"/>
      <c r="AD44" s="40"/>
      <c r="AE44" s="40"/>
      <c r="AF44" s="40"/>
    </row>
    <row r="45" spans="1:32" x14ac:dyDescent="0.25">
      <c r="A45" s="43" t="s">
        <v>129</v>
      </c>
      <c r="B45" s="43">
        <v>1</v>
      </c>
      <c r="C45" s="43">
        <v>0</v>
      </c>
      <c r="D45" s="43">
        <v>0</v>
      </c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 t="s">
        <v>99</v>
      </c>
      <c r="X45" s="43">
        <v>1</v>
      </c>
      <c r="Y45" s="43">
        <v>0</v>
      </c>
      <c r="Z45" s="43">
        <v>0</v>
      </c>
      <c r="AA45" s="42"/>
      <c r="AB45" s="40"/>
      <c r="AC45" s="40"/>
      <c r="AD45" s="40"/>
      <c r="AE45" s="40"/>
      <c r="AF45" s="40"/>
    </row>
    <row r="46" spans="1:32" x14ac:dyDescent="0.25">
      <c r="A46" s="43" t="s">
        <v>92</v>
      </c>
      <c r="B46" s="43">
        <v>1</v>
      </c>
      <c r="C46" s="43">
        <v>0</v>
      </c>
      <c r="D46" s="43">
        <v>0</v>
      </c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 t="s">
        <v>129</v>
      </c>
      <c r="X46" s="43">
        <v>1</v>
      </c>
      <c r="Y46" s="43">
        <v>0</v>
      </c>
      <c r="Z46" s="43">
        <v>0</v>
      </c>
      <c r="AA46" s="42"/>
      <c r="AB46" s="40"/>
      <c r="AC46" s="40"/>
      <c r="AD46" s="40"/>
      <c r="AE46" s="40"/>
      <c r="AF46" s="40"/>
    </row>
    <row r="47" spans="1:32" x14ac:dyDescent="0.25">
      <c r="A47" s="43" t="s">
        <v>201</v>
      </c>
      <c r="B47" s="43">
        <v>1</v>
      </c>
      <c r="C47" s="43">
        <v>0</v>
      </c>
      <c r="D47" s="43">
        <v>0</v>
      </c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 t="s">
        <v>92</v>
      </c>
      <c r="X47" s="43">
        <v>1</v>
      </c>
      <c r="Y47" s="43">
        <v>0</v>
      </c>
      <c r="Z47" s="43">
        <v>0</v>
      </c>
      <c r="AA47" s="42"/>
      <c r="AB47" s="40"/>
      <c r="AC47" s="40"/>
      <c r="AD47" s="40"/>
      <c r="AE47" s="40"/>
      <c r="AF47" s="40"/>
    </row>
    <row r="48" spans="1:32" x14ac:dyDescent="0.25">
      <c r="A48" s="43" t="s">
        <v>91</v>
      </c>
      <c r="B48" s="43">
        <v>1</v>
      </c>
      <c r="C48" s="43">
        <v>0</v>
      </c>
      <c r="D48" s="43">
        <v>0</v>
      </c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 t="s">
        <v>201</v>
      </c>
      <c r="X48" s="43">
        <v>1</v>
      </c>
      <c r="Y48" s="43">
        <v>0</v>
      </c>
      <c r="Z48" s="43">
        <v>0</v>
      </c>
      <c r="AA48" s="42"/>
      <c r="AB48" s="40"/>
      <c r="AC48" s="40"/>
      <c r="AD48" s="40"/>
      <c r="AE48" s="40"/>
      <c r="AF48" s="40"/>
    </row>
    <row r="49" spans="1:32" x14ac:dyDescent="0.25">
      <c r="A49" s="43" t="s">
        <v>94</v>
      </c>
      <c r="B49" s="43">
        <v>1</v>
      </c>
      <c r="C49" s="43">
        <v>0</v>
      </c>
      <c r="D49" s="43">
        <v>0</v>
      </c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 t="s">
        <v>91</v>
      </c>
      <c r="X49" s="43">
        <v>1</v>
      </c>
      <c r="Y49" s="43">
        <v>0</v>
      </c>
      <c r="Z49" s="43">
        <v>0</v>
      </c>
      <c r="AA49" s="42"/>
      <c r="AB49" s="40"/>
      <c r="AC49" s="40"/>
      <c r="AD49" s="40"/>
      <c r="AE49" s="40"/>
      <c r="AF49" s="40"/>
    </row>
    <row r="50" spans="1:32" x14ac:dyDescent="0.25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 t="s">
        <v>94</v>
      </c>
      <c r="X50" s="43">
        <v>1</v>
      </c>
      <c r="Y50" s="43">
        <v>0</v>
      </c>
      <c r="Z50" s="43">
        <v>0</v>
      </c>
      <c r="AA50" s="42"/>
      <c r="AB50" s="40"/>
      <c r="AC50" s="40"/>
      <c r="AD50" s="40"/>
      <c r="AE50" s="40"/>
      <c r="AF50" s="40"/>
    </row>
  </sheetData>
  <mergeCells count="5">
    <mergeCell ref="B1:F1"/>
    <mergeCell ref="I1:M1"/>
    <mergeCell ref="P1:T1"/>
    <mergeCell ref="W1:AA1"/>
    <mergeCell ref="AC1:AE1"/>
  </mergeCells>
  <pageMargins left="0.511811024" right="0.511811024" top="0.78740157499999996" bottom="0.78740157499999996" header="0.31496062000000002" footer="0.31496062000000002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Planilha1</vt:lpstr>
      <vt:lpstr>RANKING Atual</vt:lpstr>
      <vt:lpstr>Dados</vt:lpstr>
      <vt:lpstr>Planilha3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Letti</dc:creator>
  <cp:lastModifiedBy>Gabriel Letti</cp:lastModifiedBy>
  <cp:lastPrinted>2026-08-13T12:38:43Z</cp:lastPrinted>
  <dcterms:created xsi:type="dcterms:W3CDTF">2025-03-14T21:59:04Z</dcterms:created>
  <dcterms:modified xsi:type="dcterms:W3CDTF">2026-08-13T12:41:30Z</dcterms:modified>
</cp:coreProperties>
</file>